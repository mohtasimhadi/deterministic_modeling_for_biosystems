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2.xml" ContentType="application/vnd.openxmlformats-officedocument.drawing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db0007\Dropbox\BSEN 6250\Water Balance\"/>
    </mc:Choice>
  </mc:AlternateContent>
  <bookViews>
    <workbookView xWindow="240" yWindow="312" windowWidth="16920" windowHeight="10788" activeTab="2"/>
  </bookViews>
  <sheets>
    <sheet name="Layers" sheetId="7" r:id="rId1"/>
    <sheet name="Graph" sheetId="5" r:id="rId2"/>
    <sheet name="Model" sheetId="3" r:id="rId3"/>
    <sheet name="Runoff" sheetId="6" r:id="rId4"/>
    <sheet name="Soil Profile Data" sheetId="2" r:id="rId5"/>
    <sheet name="Weather Data" sheetId="1" r:id="rId6"/>
  </sheets>
  <definedNames>
    <definedName name="ETin">Model!$J$11:$M$22</definedName>
    <definedName name="Soil">Model!$A$11:$F$20</definedName>
    <definedName name="Water">Model!$E$27:$S$391</definedName>
    <definedName name="Weather">Model!$A$27:$D$391</definedName>
  </definedNames>
  <calcPr calcId="162913"/>
</workbook>
</file>

<file path=xl/calcChain.xml><?xml version="1.0" encoding="utf-8"?>
<calcChain xmlns="http://schemas.openxmlformats.org/spreadsheetml/2006/main">
  <c r="B9" i="6" l="1"/>
  <c r="C9" i="6" s="1"/>
  <c r="B10" i="6"/>
  <c r="C10" i="6" s="1"/>
  <c r="D10" i="6" s="1"/>
  <c r="B11" i="6"/>
  <c r="C11" i="6" s="1"/>
  <c r="D11" i="6" s="1"/>
  <c r="B12" i="6"/>
  <c r="C12" i="6" s="1"/>
  <c r="D12" i="6" s="1"/>
  <c r="B13" i="6"/>
  <c r="C13" i="6" s="1"/>
  <c r="D13" i="6" s="1"/>
  <c r="B14" i="6"/>
  <c r="C14" i="6" s="1"/>
  <c r="D14" i="6" s="1"/>
  <c r="B15" i="6"/>
  <c r="C15" i="6" s="1"/>
  <c r="D15" i="6" s="1"/>
  <c r="B16" i="6"/>
  <c r="C16" i="6" s="1"/>
  <c r="D16" i="6" s="1"/>
  <c r="B17" i="6"/>
  <c r="C17" i="6" s="1"/>
  <c r="D17" i="6" s="1"/>
  <c r="B18" i="6"/>
  <c r="C18" i="6" s="1"/>
  <c r="D18" i="6" s="1"/>
  <c r="B19" i="6"/>
  <c r="C19" i="6" s="1"/>
  <c r="D19" i="6" s="1"/>
  <c r="B20" i="6"/>
  <c r="C20" i="6" s="1"/>
  <c r="D20" i="6" s="1"/>
  <c r="B21" i="6"/>
  <c r="C21" i="6" s="1"/>
  <c r="D21" i="6" s="1"/>
  <c r="B22" i="6"/>
  <c r="C22" i="6" s="1"/>
  <c r="D22" i="6" s="1"/>
  <c r="B8" i="6"/>
  <c r="C8" i="6" s="1"/>
  <c r="D8" i="6" s="1"/>
  <c r="C24" i="6"/>
  <c r="D9" i="6" l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10" i="1"/>
  <c r="B392" i="3"/>
</calcChain>
</file>

<file path=xl/sharedStrings.xml><?xml version="1.0" encoding="utf-8"?>
<sst xmlns="http://schemas.openxmlformats.org/spreadsheetml/2006/main" count="79" uniqueCount="62">
  <si>
    <t>@ INSI</t>
  </si>
  <si>
    <t>LAT</t>
  </si>
  <si>
    <t>LONG</t>
  </si>
  <si>
    <t>@DATE</t>
  </si>
  <si>
    <t xml:space="preserve">Weather Data for 1994, Perry, Iowa </t>
  </si>
  <si>
    <t xml:space="preserve"> </t>
  </si>
  <si>
    <t xml:space="preserve">ELEV </t>
  </si>
  <si>
    <t>PERRY Iowa</t>
  </si>
  <si>
    <t>SRAD, MJ/m2</t>
  </si>
  <si>
    <t>TMAX, C</t>
  </si>
  <si>
    <t>TMIN, C</t>
  </si>
  <si>
    <t>RAIN, mm</t>
  </si>
  <si>
    <t>Deep Silty Clay (IB001)</t>
  </si>
  <si>
    <t>SCS Curve No = 85</t>
  </si>
  <si>
    <t>Drainage Rate = 0.3/day</t>
  </si>
  <si>
    <t>Deep Sand</t>
  </si>
  <si>
    <t>Drainage Rate = 0.6/day</t>
  </si>
  <si>
    <t>SCS Curve No = 65</t>
  </si>
  <si>
    <t>Soil Properties</t>
  </si>
  <si>
    <t>Lower  Limit, cm3/cm3</t>
  </si>
  <si>
    <t>Drained upper limit, cm3/cm3</t>
  </si>
  <si>
    <t>Saturation, cm3/cm3</t>
  </si>
  <si>
    <t>Depth, cm</t>
  </si>
  <si>
    <t>5 cm</t>
  </si>
  <si>
    <t>15 cm</t>
  </si>
  <si>
    <t>30 cm</t>
  </si>
  <si>
    <t>45 cm</t>
  </si>
  <si>
    <t>60 cm</t>
  </si>
  <si>
    <t>90 cm</t>
  </si>
  <si>
    <t>120 cm</t>
  </si>
  <si>
    <t>150 cm</t>
  </si>
  <si>
    <t>180 cm</t>
  </si>
  <si>
    <t>210 cm</t>
  </si>
  <si>
    <t>Rainfall, mm</t>
  </si>
  <si>
    <t>Infil, cm</t>
  </si>
  <si>
    <t>SCS Curve No =</t>
  </si>
  <si>
    <t xml:space="preserve">Drainage Rate = </t>
  </si>
  <si>
    <t>per day</t>
  </si>
  <si>
    <t>Runoff, mm</t>
  </si>
  <si>
    <t>SCS Runoff factor, S</t>
  </si>
  <si>
    <t>Number Soil Layers=</t>
  </si>
  <si>
    <t>Day of Year</t>
  </si>
  <si>
    <t>Initial Soil Water Content, cm3/cm3</t>
  </si>
  <si>
    <t>Root Length Volume, cm/cm3</t>
  </si>
  <si>
    <t>2X Rainfall</t>
  </si>
  <si>
    <t>Simple Soil Water Balance</t>
  </si>
  <si>
    <t>Month</t>
  </si>
  <si>
    <t>Crop Coefficient, k</t>
  </si>
  <si>
    <t>Monthly % Daytime Hours</t>
  </si>
  <si>
    <t>Day of Year of Last Day of Month</t>
  </si>
  <si>
    <t>Tmax, C</t>
  </si>
  <si>
    <t>Tmin, C</t>
  </si>
  <si>
    <t>Tavg</t>
  </si>
  <si>
    <t>Rainfall</t>
  </si>
  <si>
    <t>S</t>
  </si>
  <si>
    <t>Runoff</t>
  </si>
  <si>
    <t>Infiltration</t>
  </si>
  <si>
    <t>CN</t>
  </si>
  <si>
    <t>ET, cm</t>
  </si>
  <si>
    <t>Default</t>
  </si>
  <si>
    <t>September 2022</t>
  </si>
  <si>
    <t>Blaney Criddle Coefficients at 30 degrees N latitude for warm season grass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</si>
</sst>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6">
    <xf numFmtId="0" fontId="0" fillId="0" borderId="0" xfId="0"/>
    <xf numFmtId="0" fontId="16" fillId="0" borderId="0" xfId="0" applyFont="1"/>
    <xf numFmtId="0" fontId="0" fillId="0" borderId="0" xfId="0" applyAlignment="1">
      <alignment wrapText="1"/>
    </xf>
    <xf numFmtId="164" fontId="0" fillId="0" borderId="0" xfId="0" applyNumberFormat="1"/>
    <xf numFmtId="0" fontId="16" fillId="0" borderId="0" xfId="0" applyFont="1" applyAlignment="1">
      <alignment wrapText="1"/>
    </xf>
    <xf numFmtId="0" fontId="16" fillId="0" borderId="0" xfId="0" applyFont="1" applyAlignment="1">
      <alignment horizontal="center" wrapText="1"/>
    </xf>
    <xf numFmtId="17" fontId="16" fillId="0" borderId="0" xfId="0" quotePrefix="1" applyNumberFormat="1" applyFont="1"/>
    <xf numFmtId="0" fontId="16" fillId="0" borderId="10" xfId="0" applyFont="1" applyBorder="1" applyAlignment="1">
      <alignment wrapText="1"/>
    </xf>
    <xf numFmtId="0" fontId="16" fillId="0" borderId="11" xfId="0" applyFont="1" applyBorder="1" applyAlignment="1">
      <alignment wrapText="1"/>
    </xf>
    <xf numFmtId="0" fontId="16" fillId="0" borderId="12" xfId="0" applyFont="1" applyBorder="1" applyAlignment="1">
      <alignment wrapText="1"/>
    </xf>
    <xf numFmtId="0" fontId="0" fillId="0" borderId="13" xfId="0" applyBorder="1"/>
    <xf numFmtId="0" fontId="0" fillId="0" borderId="0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2.xml"/><Relationship Id="rId7" Type="http://schemas.openxmlformats.org/officeDocument/2006/relationships/theme" Target="theme/theme1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microsoft.com/office/2006/relationships/vbaProject" Target="vbaProject.bin"/><Relationship Id="rId5" Type="http://schemas.openxmlformats.org/officeDocument/2006/relationships/worksheet" Target="worksheets/sheet4.xml"/><Relationship Id="rId10" Type="http://schemas.openxmlformats.org/officeDocument/2006/relationships/calcChain" Target="calcChain.xml"/><Relationship Id="rId4" Type="http://schemas.openxmlformats.org/officeDocument/2006/relationships/worksheet" Target="worksheets/sheet3.xml"/><Relationship Id="rId9" Type="http://schemas.openxmlformats.org/officeDocument/2006/relationships/sharedStrings" Target="sharedStrings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Model!$H$26</c:f>
              <c:strCache>
                <c:ptCount val="1"/>
                <c:pt idx="0">
                  <c:v>5 cm</c:v>
                </c:pt>
              </c:strCache>
            </c:strRef>
          </c:tx>
          <c:marker>
            <c:symbol val="none"/>
          </c:marker>
          <c:xVal>
            <c:numRef>
              <c:f>Model!$A$27:$A$391</c:f>
              <c:numCache>
                <c:formatCode>General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xVal>
          <c:yVal>
            <c:numRef>
              <c:f>Model!$H$27:$H$391</c:f>
              <c:numCache>
                <c:formatCode>0.000</c:formatCode>
                <c:ptCount val="36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352-4E1F-86F5-16D6AA9C643F}"/>
            </c:ext>
          </c:extLst>
        </c:ser>
        <c:ser>
          <c:idx val="1"/>
          <c:order val="1"/>
          <c:tx>
            <c:strRef>
              <c:f>Model!$I$26</c:f>
              <c:strCache>
                <c:ptCount val="1"/>
                <c:pt idx="0">
                  <c:v>15 cm</c:v>
                </c:pt>
              </c:strCache>
            </c:strRef>
          </c:tx>
          <c:marker>
            <c:symbol val="none"/>
          </c:marker>
          <c:xVal>
            <c:numRef>
              <c:f>Model!$A$27:$A$391</c:f>
              <c:numCache>
                <c:formatCode>General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xVal>
          <c:yVal>
            <c:numRef>
              <c:f>Model!$I$27:$I$391</c:f>
              <c:numCache>
                <c:formatCode>0.000</c:formatCode>
                <c:ptCount val="36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352-4E1F-86F5-16D6AA9C64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81728"/>
        <c:axId val="138283648"/>
      </c:scatterChart>
      <c:valAx>
        <c:axId val="138281728"/>
        <c:scaling>
          <c:orientation val="minMax"/>
        </c:scaling>
        <c:delete val="0"/>
        <c:axPos val="b"/>
        <c:title>
          <c:overlay val="0"/>
        </c:title>
        <c:numFmt formatCode="General" sourceLinked="1"/>
        <c:majorTickMark val="none"/>
        <c:minorTickMark val="none"/>
        <c:tickLblPos val="nextTo"/>
        <c:crossAx val="138283648"/>
        <c:crosses val="autoZero"/>
        <c:crossBetween val="midCat"/>
      </c:valAx>
      <c:valAx>
        <c:axId val="138283648"/>
        <c:scaling>
          <c:orientation val="minMax"/>
          <c:max val="0.5"/>
        </c:scaling>
        <c:delete val="0"/>
        <c:axPos val="l"/>
        <c:majorGridlines/>
        <c:title>
          <c:overlay val="0"/>
        </c:title>
        <c:numFmt formatCode="0.000" sourceLinked="1"/>
        <c:majorTickMark val="none"/>
        <c:minorTickMark val="none"/>
        <c:tickLblPos val="nextTo"/>
        <c:crossAx val="13828172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Model!$J$26</c:f>
              <c:strCache>
                <c:ptCount val="1"/>
                <c:pt idx="0">
                  <c:v>30 cm</c:v>
                </c:pt>
              </c:strCache>
            </c:strRef>
          </c:tx>
          <c:marker>
            <c:symbol val="none"/>
          </c:marker>
          <c:xVal>
            <c:numRef>
              <c:f>Model!$A$27:$A$391</c:f>
              <c:numCache>
                <c:formatCode>General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xVal>
          <c:yVal>
            <c:numRef>
              <c:f>Model!$J$27:$J$391</c:f>
              <c:numCache>
                <c:formatCode>0.000</c:formatCode>
                <c:ptCount val="36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D73-411C-B6DF-64D872B3BFFC}"/>
            </c:ext>
          </c:extLst>
        </c:ser>
        <c:ser>
          <c:idx val="1"/>
          <c:order val="1"/>
          <c:tx>
            <c:strRef>
              <c:f>Model!$K$26</c:f>
              <c:strCache>
                <c:ptCount val="1"/>
                <c:pt idx="0">
                  <c:v>45 cm</c:v>
                </c:pt>
              </c:strCache>
            </c:strRef>
          </c:tx>
          <c:marker>
            <c:symbol val="none"/>
          </c:marker>
          <c:xVal>
            <c:numRef>
              <c:f>Model!$A$27:$A$391</c:f>
              <c:numCache>
                <c:formatCode>General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xVal>
          <c:yVal>
            <c:numRef>
              <c:f>Model!$K$27:$K$391</c:f>
              <c:numCache>
                <c:formatCode>0.000</c:formatCode>
                <c:ptCount val="36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D73-411C-B6DF-64D872B3BF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330112"/>
        <c:axId val="138331648"/>
      </c:scatterChart>
      <c:valAx>
        <c:axId val="1383301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8331648"/>
        <c:crosses val="autoZero"/>
        <c:crossBetween val="midCat"/>
      </c:valAx>
      <c:valAx>
        <c:axId val="138331648"/>
        <c:scaling>
          <c:orientation val="minMax"/>
          <c:max val="0.5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13833011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Model!$L$26</c:f>
              <c:strCache>
                <c:ptCount val="1"/>
                <c:pt idx="0">
                  <c:v>60 cm</c:v>
                </c:pt>
              </c:strCache>
            </c:strRef>
          </c:tx>
          <c:marker>
            <c:symbol val="none"/>
          </c:marker>
          <c:xVal>
            <c:numRef>
              <c:f>Model!$A$27:$A$391</c:f>
              <c:numCache>
                <c:formatCode>General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xVal>
          <c:yVal>
            <c:numRef>
              <c:f>Model!$L$27:$L$391</c:f>
              <c:numCache>
                <c:formatCode>0.000</c:formatCode>
                <c:ptCount val="36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6D-49D4-978A-A5BE5340D439}"/>
            </c:ext>
          </c:extLst>
        </c:ser>
        <c:ser>
          <c:idx val="1"/>
          <c:order val="1"/>
          <c:tx>
            <c:strRef>
              <c:f>Model!$M$26</c:f>
              <c:strCache>
                <c:ptCount val="1"/>
                <c:pt idx="0">
                  <c:v>90 cm</c:v>
                </c:pt>
              </c:strCache>
            </c:strRef>
          </c:tx>
          <c:marker>
            <c:symbol val="none"/>
          </c:marker>
          <c:xVal>
            <c:numRef>
              <c:f>Model!$A$27:$A$391</c:f>
              <c:numCache>
                <c:formatCode>General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xVal>
          <c:yVal>
            <c:numRef>
              <c:f>Model!$M$27:$M$391</c:f>
              <c:numCache>
                <c:formatCode>0.000</c:formatCode>
                <c:ptCount val="36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6D-49D4-978A-A5BE5340D4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7344"/>
        <c:axId val="138218880"/>
      </c:scatterChart>
      <c:valAx>
        <c:axId val="138217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8218880"/>
        <c:crosses val="autoZero"/>
        <c:crossBetween val="midCat"/>
      </c:valAx>
      <c:valAx>
        <c:axId val="138218880"/>
        <c:scaling>
          <c:orientation val="minMax"/>
          <c:max val="0.5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13821734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Model!$P$26</c:f>
              <c:strCache>
                <c:ptCount val="1"/>
                <c:pt idx="0">
                  <c:v>180 cm</c:v>
                </c:pt>
              </c:strCache>
            </c:strRef>
          </c:tx>
          <c:marker>
            <c:symbol val="none"/>
          </c:marker>
          <c:xVal>
            <c:numRef>
              <c:f>Model!$A$27:$A$391</c:f>
              <c:numCache>
                <c:formatCode>General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xVal>
          <c:yVal>
            <c:numRef>
              <c:f>Model!$P$27:$P$391</c:f>
              <c:numCache>
                <c:formatCode>0.000</c:formatCode>
                <c:ptCount val="36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109-47A3-9783-3A497227805B}"/>
            </c:ext>
          </c:extLst>
        </c:ser>
        <c:ser>
          <c:idx val="1"/>
          <c:order val="1"/>
          <c:tx>
            <c:strRef>
              <c:f>Model!$Q$26</c:f>
              <c:strCache>
                <c:ptCount val="1"/>
                <c:pt idx="0">
                  <c:v>210 cm</c:v>
                </c:pt>
              </c:strCache>
            </c:strRef>
          </c:tx>
          <c:marker>
            <c:symbol val="none"/>
          </c:marker>
          <c:xVal>
            <c:numRef>
              <c:f>Model!$A$27:$A$391</c:f>
              <c:numCache>
                <c:formatCode>General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xVal>
          <c:yVal>
            <c:numRef>
              <c:f>Model!$Q$27:$Q$391</c:f>
              <c:numCache>
                <c:formatCode>0.000</c:formatCode>
                <c:ptCount val="36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109-47A3-9783-3A49722780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674176"/>
        <c:axId val="138675712"/>
      </c:scatterChart>
      <c:valAx>
        <c:axId val="138674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8675712"/>
        <c:crosses val="autoZero"/>
        <c:crossBetween val="midCat"/>
      </c:valAx>
      <c:valAx>
        <c:axId val="138675712"/>
        <c:scaling>
          <c:orientation val="minMax"/>
          <c:max val="0.5"/>
          <c:min val="0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13867417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Model!$N$26</c:f>
              <c:strCache>
                <c:ptCount val="1"/>
                <c:pt idx="0">
                  <c:v>120 cm</c:v>
                </c:pt>
              </c:strCache>
            </c:strRef>
          </c:tx>
          <c:marker>
            <c:symbol val="none"/>
          </c:marker>
          <c:xVal>
            <c:numRef>
              <c:f>Model!$A$27:$A$391</c:f>
              <c:numCache>
                <c:formatCode>General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xVal>
          <c:yVal>
            <c:numRef>
              <c:f>Model!$N$27:$N$391</c:f>
              <c:numCache>
                <c:formatCode>0.000</c:formatCode>
                <c:ptCount val="36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2DE-48D5-A73E-39B6642E9D51}"/>
            </c:ext>
          </c:extLst>
        </c:ser>
        <c:ser>
          <c:idx val="1"/>
          <c:order val="1"/>
          <c:tx>
            <c:strRef>
              <c:f>Model!$O$26</c:f>
              <c:strCache>
                <c:ptCount val="1"/>
                <c:pt idx="0">
                  <c:v>150 cm</c:v>
                </c:pt>
              </c:strCache>
            </c:strRef>
          </c:tx>
          <c:marker>
            <c:symbol val="none"/>
          </c:marker>
          <c:xVal>
            <c:numRef>
              <c:f>Model!$A$27:$A$391</c:f>
              <c:numCache>
                <c:formatCode>General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xVal>
          <c:yVal>
            <c:numRef>
              <c:f>Model!$O$27:$O$391</c:f>
              <c:numCache>
                <c:formatCode>0.000</c:formatCode>
                <c:ptCount val="36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2DE-48D5-A73E-39B6642E9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700672"/>
        <c:axId val="138702208"/>
      </c:scatterChart>
      <c:valAx>
        <c:axId val="138700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8702208"/>
        <c:crosses val="autoZero"/>
        <c:crossBetween val="midCat"/>
      </c:valAx>
      <c:valAx>
        <c:axId val="138702208"/>
        <c:scaling>
          <c:orientation val="minMax"/>
          <c:max val="0.5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13870067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>
              <a:defRPr/>
            </a:pPr>
            <a:r>
              <a:rPr lang="en-US"/>
              <a:t>Simulated Soil Water Content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Model!$H$26</c:f>
              <c:strCache>
                <c:ptCount val="1"/>
                <c:pt idx="0">
                  <c:v>5 cm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Model!$A$27:$A$391</c:f>
              <c:numCache>
                <c:formatCode>General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xVal>
          <c:yVal>
            <c:numRef>
              <c:f>Model!$H$27:$H$391</c:f>
              <c:numCache>
                <c:formatCode>0.000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2D-4B9B-BD83-252B074BEF2B}"/>
            </c:ext>
          </c:extLst>
        </c:ser>
        <c:ser>
          <c:idx val="1"/>
          <c:order val="1"/>
          <c:tx>
            <c:strRef>
              <c:f>Model!$I$26</c:f>
              <c:strCache>
                <c:ptCount val="1"/>
                <c:pt idx="0">
                  <c:v>15 cm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Model!$A$27:$A$391</c:f>
              <c:numCache>
                <c:formatCode>General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xVal>
          <c:yVal>
            <c:numRef>
              <c:f>Model!$I$27:$I$391</c:f>
              <c:numCache>
                <c:formatCode>0.000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D2D-4B9B-BD83-252B074BEF2B}"/>
            </c:ext>
          </c:extLst>
        </c:ser>
        <c:ser>
          <c:idx val="2"/>
          <c:order val="2"/>
          <c:tx>
            <c:strRef>
              <c:f>Model!$J$26</c:f>
              <c:strCache>
                <c:ptCount val="1"/>
                <c:pt idx="0">
                  <c:v>30 cm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Model!$A$27:$A$391</c:f>
              <c:numCache>
                <c:formatCode>General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xVal>
          <c:yVal>
            <c:numRef>
              <c:f>Model!$J$27:$J$391</c:f>
              <c:numCache>
                <c:formatCode>0.000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D2D-4B9B-BD83-252B074BEF2B}"/>
            </c:ext>
          </c:extLst>
        </c:ser>
        <c:ser>
          <c:idx val="3"/>
          <c:order val="3"/>
          <c:tx>
            <c:strRef>
              <c:f>Model!$K$26</c:f>
              <c:strCache>
                <c:ptCount val="1"/>
                <c:pt idx="0">
                  <c:v>45 cm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Model!$A$27:$A$391</c:f>
              <c:numCache>
                <c:formatCode>General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xVal>
          <c:yVal>
            <c:numRef>
              <c:f>Model!$K$27:$K$391</c:f>
              <c:numCache>
                <c:formatCode>0.000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D2D-4B9B-BD83-252B074BEF2B}"/>
            </c:ext>
          </c:extLst>
        </c:ser>
        <c:ser>
          <c:idx val="4"/>
          <c:order val="4"/>
          <c:tx>
            <c:strRef>
              <c:f>Model!$L$26</c:f>
              <c:strCache>
                <c:ptCount val="1"/>
                <c:pt idx="0">
                  <c:v>60 cm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Model!$A$27:$A$391</c:f>
              <c:numCache>
                <c:formatCode>General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xVal>
          <c:yVal>
            <c:numRef>
              <c:f>Model!$L$27:$L$391</c:f>
              <c:numCache>
                <c:formatCode>0.000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D2D-4B9B-BD83-252B074BEF2B}"/>
            </c:ext>
          </c:extLst>
        </c:ser>
        <c:ser>
          <c:idx val="5"/>
          <c:order val="5"/>
          <c:tx>
            <c:strRef>
              <c:f>Model!$M$26</c:f>
              <c:strCache>
                <c:ptCount val="1"/>
                <c:pt idx="0">
                  <c:v>90 cm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Model!$A$27:$A$391</c:f>
              <c:numCache>
                <c:formatCode>General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xVal>
          <c:yVal>
            <c:numRef>
              <c:f>Model!$M$27:$M$391</c:f>
              <c:numCache>
                <c:formatCode>0.000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D2D-4B9B-BD83-252B074BEF2B}"/>
            </c:ext>
          </c:extLst>
        </c:ser>
        <c:ser>
          <c:idx val="6"/>
          <c:order val="6"/>
          <c:tx>
            <c:strRef>
              <c:f>Model!$N$26</c:f>
              <c:strCache>
                <c:ptCount val="1"/>
                <c:pt idx="0">
                  <c:v>120 cm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Model!$A$27:$A$391</c:f>
              <c:numCache>
                <c:formatCode>General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xVal>
          <c:yVal>
            <c:numRef>
              <c:f>Model!$N$27:$N$391</c:f>
              <c:numCache>
                <c:formatCode>0.000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D2D-4B9B-BD83-252B074BEF2B}"/>
            </c:ext>
          </c:extLst>
        </c:ser>
        <c:ser>
          <c:idx val="7"/>
          <c:order val="7"/>
          <c:tx>
            <c:strRef>
              <c:f>Model!$O$26</c:f>
              <c:strCache>
                <c:ptCount val="1"/>
                <c:pt idx="0">
                  <c:v>150 cm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Model!$A$27:$A$391</c:f>
              <c:numCache>
                <c:formatCode>General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xVal>
          <c:yVal>
            <c:numRef>
              <c:f>Model!$O$27:$O$391</c:f>
              <c:numCache>
                <c:formatCode>0.000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D2D-4B9B-BD83-252B074BEF2B}"/>
            </c:ext>
          </c:extLst>
        </c:ser>
        <c:ser>
          <c:idx val="8"/>
          <c:order val="8"/>
          <c:tx>
            <c:strRef>
              <c:f>Model!$P$26</c:f>
              <c:strCache>
                <c:ptCount val="1"/>
                <c:pt idx="0">
                  <c:v>180 cm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Model!$A$27:$A$391</c:f>
              <c:numCache>
                <c:formatCode>General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xVal>
          <c:yVal>
            <c:numRef>
              <c:f>Model!$P$27:$P$391</c:f>
              <c:numCache>
                <c:formatCode>0.000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D2D-4B9B-BD83-252B074BEF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747456"/>
        <c:axId val="137753728"/>
      </c:scatterChart>
      <c:valAx>
        <c:axId val="137747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Day Of 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37753728"/>
        <c:crosses val="autoZero"/>
        <c:crossBetween val="midCat"/>
      </c:valAx>
      <c:valAx>
        <c:axId val="137753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Soil Water Content, cm3/cm3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377474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 b="1"/>
      </a:pPr>
      <a:endParaRPr lang="en-US"/>
    </a:p>
  </c:txPr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Runoff!$D$7</c:f>
              <c:strCache>
                <c:ptCount val="1"/>
                <c:pt idx="0">
                  <c:v>Infiltration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Runoff!$A$8:$A$22</c:f>
              <c:numCache>
                <c:formatCode>General</c:formatCode>
                <c:ptCount val="15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6</c:v>
                </c:pt>
              </c:numCache>
            </c:numRef>
          </c:xVal>
          <c:yVal>
            <c:numRef>
              <c:f>Runoff!$D$8:$D$22</c:f>
              <c:numCache>
                <c:formatCode>General</c:formatCode>
                <c:ptCount val="15"/>
                <c:pt idx="0">
                  <c:v>-2.0853609953714836</c:v>
                </c:pt>
                <c:pt idx="1">
                  <c:v>-1.9304097495441896</c:v>
                </c:pt>
                <c:pt idx="2">
                  <c:v>-1.776315562828352</c:v>
                </c:pt>
                <c:pt idx="3">
                  <c:v>-1.6230713440470281</c:v>
                </c:pt>
                <c:pt idx="4">
                  <c:v>-1.470670080036544</c:v>
                </c:pt>
                <c:pt idx="5">
                  <c:v>-1.3191048345766183</c:v>
                </c:pt>
                <c:pt idx="6">
                  <c:v>-1.168368747338034</c:v>
                </c:pt>
                <c:pt idx="7">
                  <c:v>-1.0184550328475412</c:v>
                </c:pt>
                <c:pt idx="8">
                  <c:v>-0.86935697946965595</c:v>
                </c:pt>
                <c:pt idx="9">
                  <c:v>-0.72106794840502375</c:v>
                </c:pt>
                <c:pt idx="10">
                  <c:v>0.71873651884619649</c:v>
                </c:pt>
                <c:pt idx="11">
                  <c:v>2.0844366084308388</c:v>
                </c:pt>
                <c:pt idx="12">
                  <c:v>3.3816098340162517</c:v>
                </c:pt>
                <c:pt idx="13">
                  <c:v>4.6152876814417105</c:v>
                </c:pt>
                <c:pt idx="14">
                  <c:v>5.7900208312667392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B5-40F6-9554-332E532A96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660864"/>
        <c:axId val="138871936"/>
      </c:scatterChart>
      <c:valAx>
        <c:axId val="138660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Rainfall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871936"/>
        <c:crosses val="autoZero"/>
        <c:crossBetween val="midCat"/>
      </c:valAx>
      <c:valAx>
        <c:axId val="138871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Infiltration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6608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5"/>
  <sheetViews>
    <sheetView zoomScale="120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</xdr:row>
      <xdr:rowOff>0</xdr:rowOff>
    </xdr:from>
    <xdr:to>
      <xdr:col>8</xdr:col>
      <xdr:colOff>304800</xdr:colOff>
      <xdr:row>18</xdr:row>
      <xdr:rowOff>76200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20</xdr:row>
      <xdr:rowOff>0</xdr:rowOff>
    </xdr:from>
    <xdr:to>
      <xdr:col>8</xdr:col>
      <xdr:colOff>304800</xdr:colOff>
      <xdr:row>34</xdr:row>
      <xdr:rowOff>76200</xdr:rowOff>
    </xdr:to>
    <xdr:graphicFrame macro="">
      <xdr:nvGraphicFramePr>
        <xdr:cNvPr id="10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36</xdr:row>
      <xdr:rowOff>0</xdr:rowOff>
    </xdr:from>
    <xdr:to>
      <xdr:col>8</xdr:col>
      <xdr:colOff>304800</xdr:colOff>
      <xdr:row>50</xdr:row>
      <xdr:rowOff>76200</xdr:rowOff>
    </xdr:to>
    <xdr:graphicFrame macro="">
      <xdr:nvGraphicFramePr>
        <xdr:cNvPr id="12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0</xdr:colOff>
      <xdr:row>20</xdr:row>
      <xdr:rowOff>0</xdr:rowOff>
    </xdr:from>
    <xdr:to>
      <xdr:col>16</xdr:col>
      <xdr:colOff>304800</xdr:colOff>
      <xdr:row>34</xdr:row>
      <xdr:rowOff>76200</xdr:rowOff>
    </xdr:to>
    <xdr:graphicFrame macro="">
      <xdr:nvGraphicFramePr>
        <xdr:cNvPr id="17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0</xdr:colOff>
      <xdr:row>4</xdr:row>
      <xdr:rowOff>0</xdr:rowOff>
    </xdr:from>
    <xdr:to>
      <xdr:col>16</xdr:col>
      <xdr:colOff>304800</xdr:colOff>
      <xdr:row>18</xdr:row>
      <xdr:rowOff>76200</xdr:rowOff>
    </xdr:to>
    <xdr:graphicFrame macro="">
      <xdr:nvGraphicFramePr>
        <xdr:cNvPr id="18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4438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106680</xdr:colOff>
          <xdr:row>20</xdr:row>
          <xdr:rowOff>137160</xdr:rowOff>
        </xdr:from>
        <xdr:to>
          <xdr:col>2</xdr:col>
          <xdr:colOff>502920</xdr:colOff>
          <xdr:row>24</xdr:row>
          <xdr:rowOff>30480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Model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200024</xdr:colOff>
      <xdr:row>5</xdr:row>
      <xdr:rowOff>14286</xdr:rowOff>
    </xdr:from>
    <xdr:to>
      <xdr:col>13</xdr:col>
      <xdr:colOff>590549</xdr:colOff>
      <xdr:row>23</xdr:row>
      <xdr:rowOff>171449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topLeftCell="A4" zoomScale="80" zoomScaleNormal="80" workbookViewId="0">
      <selection activeCell="N40" sqref="N40"/>
    </sheetView>
  </sheetViews>
  <sheetFormatPr defaultRowHeight="14.4" x14ac:dyDescent="0.3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392"/>
  <sheetViews>
    <sheetView tabSelected="1" topLeftCell="A76" workbookViewId="0">
      <selection activeCell="S46" sqref="S46"/>
    </sheetView>
  </sheetViews>
  <sheetFormatPr defaultRowHeight="14.4" x14ac:dyDescent="0.3"/>
  <sheetData>
    <row r="1" spans="1:14" x14ac:dyDescent="0.3">
      <c r="A1" s="1" t="s">
        <v>45</v>
      </c>
    </row>
    <row r="2" spans="1:14" x14ac:dyDescent="0.3">
      <c r="A2" s="6" t="s">
        <v>60</v>
      </c>
    </row>
    <row r="5" spans="1:14" x14ac:dyDescent="0.3">
      <c r="A5" s="1" t="s">
        <v>12</v>
      </c>
    </row>
    <row r="6" spans="1:14" x14ac:dyDescent="0.3">
      <c r="A6" t="s">
        <v>35</v>
      </c>
      <c r="C6">
        <v>85</v>
      </c>
      <c r="J6" t="s">
        <v>5</v>
      </c>
    </row>
    <row r="7" spans="1:14" x14ac:dyDescent="0.3">
      <c r="A7" t="s">
        <v>36</v>
      </c>
      <c r="C7">
        <v>0.3</v>
      </c>
      <c r="D7" t="s">
        <v>37</v>
      </c>
    </row>
    <row r="8" spans="1:14" x14ac:dyDescent="0.3">
      <c r="A8" t="s">
        <v>40</v>
      </c>
      <c r="C8">
        <v>10</v>
      </c>
    </row>
    <row r="9" spans="1:14" ht="15" thickBot="1" x14ac:dyDescent="0.35">
      <c r="J9" t="s">
        <v>61</v>
      </c>
    </row>
    <row r="10" spans="1:14" ht="87" thickTop="1" x14ac:dyDescent="0.3">
      <c r="A10" s="7" t="s">
        <v>22</v>
      </c>
      <c r="B10" s="8" t="s">
        <v>19</v>
      </c>
      <c r="C10" s="8" t="s">
        <v>20</v>
      </c>
      <c r="D10" s="8" t="s">
        <v>21</v>
      </c>
      <c r="E10" s="8" t="s">
        <v>42</v>
      </c>
      <c r="F10" s="9" t="s">
        <v>43</v>
      </c>
      <c r="J10" s="7" t="s">
        <v>46</v>
      </c>
      <c r="K10" s="8" t="s">
        <v>49</v>
      </c>
      <c r="L10" s="8" t="s">
        <v>47</v>
      </c>
      <c r="M10" s="9" t="s">
        <v>48</v>
      </c>
      <c r="N10" s="2"/>
    </row>
    <row r="11" spans="1:14" x14ac:dyDescent="0.3">
      <c r="A11" s="10">
        <v>5</v>
      </c>
      <c r="B11" s="11">
        <v>0.22800000000000001</v>
      </c>
      <c r="C11" s="11">
        <v>0.38500000000000001</v>
      </c>
      <c r="D11" s="11">
        <v>0.48099999999999998</v>
      </c>
      <c r="E11" s="11">
        <v>0.3</v>
      </c>
      <c r="F11" s="12">
        <v>4</v>
      </c>
      <c r="J11" s="10">
        <v>1</v>
      </c>
      <c r="K11" s="11">
        <v>31</v>
      </c>
      <c r="L11" s="11">
        <v>0.8</v>
      </c>
      <c r="M11" s="12">
        <v>0.24</v>
      </c>
    </row>
    <row r="12" spans="1:14" x14ac:dyDescent="0.3">
      <c r="A12" s="10">
        <v>15</v>
      </c>
      <c r="B12" s="11">
        <v>0.22800000000000001</v>
      </c>
      <c r="C12" s="11">
        <v>0.38500000000000001</v>
      </c>
      <c r="D12" s="11">
        <v>0.48099999999999998</v>
      </c>
      <c r="E12" s="11">
        <v>0.3</v>
      </c>
      <c r="F12" s="12">
        <v>3.8</v>
      </c>
      <c r="J12" s="10">
        <v>2</v>
      </c>
      <c r="K12" s="11">
        <v>59</v>
      </c>
      <c r="L12" s="11">
        <v>0.8</v>
      </c>
      <c r="M12" s="12">
        <v>0.25</v>
      </c>
    </row>
    <row r="13" spans="1:14" x14ac:dyDescent="0.3">
      <c r="A13" s="10">
        <v>30</v>
      </c>
      <c r="B13" s="11">
        <v>0.249</v>
      </c>
      <c r="C13" s="11">
        <v>0.40600000000000003</v>
      </c>
      <c r="D13" s="11">
        <v>0.48199999999999998</v>
      </c>
      <c r="E13" s="11">
        <v>0.3</v>
      </c>
      <c r="F13" s="12">
        <v>3.5</v>
      </c>
      <c r="J13" s="10">
        <v>3</v>
      </c>
      <c r="K13" s="11">
        <v>90</v>
      </c>
      <c r="L13" s="11">
        <v>0.8</v>
      </c>
      <c r="M13" s="12">
        <v>0.27</v>
      </c>
    </row>
    <row r="14" spans="1:14" x14ac:dyDescent="0.3">
      <c r="A14" s="10">
        <v>45</v>
      </c>
      <c r="B14" s="11">
        <v>0.249</v>
      </c>
      <c r="C14" s="11">
        <v>0.40600000000000003</v>
      </c>
      <c r="D14" s="11">
        <v>0.46500000000000002</v>
      </c>
      <c r="E14" s="11">
        <v>0.3</v>
      </c>
      <c r="F14" s="12">
        <v>3.2</v>
      </c>
      <c r="J14" s="10">
        <v>4</v>
      </c>
      <c r="K14" s="11">
        <v>120</v>
      </c>
      <c r="L14" s="11">
        <v>0.85</v>
      </c>
      <c r="M14" s="12">
        <v>0.28999999999999998</v>
      </c>
    </row>
    <row r="15" spans="1:14" x14ac:dyDescent="0.3">
      <c r="A15" s="10">
        <v>60</v>
      </c>
      <c r="B15" s="11">
        <v>0.249</v>
      </c>
      <c r="C15" s="11">
        <v>0.40600000000000003</v>
      </c>
      <c r="D15" s="11">
        <v>0.46500000000000002</v>
      </c>
      <c r="E15" s="11">
        <v>0.3</v>
      </c>
      <c r="F15" s="12">
        <v>3</v>
      </c>
      <c r="J15" s="10">
        <v>5</v>
      </c>
      <c r="K15" s="11">
        <v>151</v>
      </c>
      <c r="L15" s="11">
        <v>0.85</v>
      </c>
      <c r="M15" s="12">
        <v>0.31</v>
      </c>
    </row>
    <row r="16" spans="1:14" x14ac:dyDescent="0.3">
      <c r="A16" s="10">
        <v>90</v>
      </c>
      <c r="B16" s="11">
        <v>0.249</v>
      </c>
      <c r="C16" s="11">
        <v>0.45600000000000002</v>
      </c>
      <c r="D16" s="11">
        <v>0.46800000000000003</v>
      </c>
      <c r="E16" s="11">
        <v>0.3</v>
      </c>
      <c r="F16" s="12">
        <v>2.5</v>
      </c>
      <c r="J16" s="10">
        <v>6</v>
      </c>
      <c r="K16" s="11">
        <v>181</v>
      </c>
      <c r="L16" s="11">
        <v>0.85</v>
      </c>
      <c r="M16" s="12">
        <v>0.32</v>
      </c>
    </row>
    <row r="17" spans="1:19" x14ac:dyDescent="0.3">
      <c r="A17" s="10">
        <v>120</v>
      </c>
      <c r="B17" s="11">
        <v>0.20699999999999999</v>
      </c>
      <c r="C17" s="11">
        <v>0.34100000000000003</v>
      </c>
      <c r="D17" s="11">
        <v>0.45200000000000001</v>
      </c>
      <c r="E17" s="11">
        <v>0.3</v>
      </c>
      <c r="F17" s="12">
        <v>2</v>
      </c>
      <c r="J17" s="10">
        <v>7</v>
      </c>
      <c r="K17" s="11">
        <v>212</v>
      </c>
      <c r="L17" s="11">
        <v>0.85</v>
      </c>
      <c r="M17" s="12">
        <v>0.31</v>
      </c>
    </row>
    <row r="18" spans="1:19" x14ac:dyDescent="0.3">
      <c r="A18" s="10">
        <v>150</v>
      </c>
      <c r="B18" s="11">
        <v>0.24299999999999999</v>
      </c>
      <c r="C18" s="11">
        <v>0.36499999999999999</v>
      </c>
      <c r="D18" s="11">
        <v>0.45500000000000002</v>
      </c>
      <c r="E18" s="11">
        <v>0.3</v>
      </c>
      <c r="F18" s="12">
        <v>1</v>
      </c>
      <c r="J18" s="10">
        <v>8</v>
      </c>
      <c r="K18" s="11">
        <v>243</v>
      </c>
      <c r="L18" s="11">
        <v>0.85</v>
      </c>
      <c r="M18" s="12">
        <v>0.3</v>
      </c>
    </row>
    <row r="19" spans="1:19" x14ac:dyDescent="0.3">
      <c r="A19" s="10">
        <v>180</v>
      </c>
      <c r="B19" s="11">
        <v>0.25900000000000001</v>
      </c>
      <c r="C19" s="11">
        <v>0.36099999999999999</v>
      </c>
      <c r="D19" s="11">
        <v>0.45700000000000002</v>
      </c>
      <c r="E19" s="11">
        <v>0.3</v>
      </c>
      <c r="F19" s="12">
        <v>1</v>
      </c>
      <c r="J19" s="10">
        <v>9</v>
      </c>
      <c r="K19" s="11">
        <v>273</v>
      </c>
      <c r="L19" s="11">
        <v>0.85</v>
      </c>
      <c r="M19" s="12">
        <v>0.28000000000000003</v>
      </c>
    </row>
    <row r="20" spans="1:19" ht="15" thickBot="1" x14ac:dyDescent="0.35">
      <c r="A20" s="13">
        <v>210</v>
      </c>
      <c r="B20" s="14">
        <v>0.25900000000000001</v>
      </c>
      <c r="C20" s="14">
        <v>0.36099999999999999</v>
      </c>
      <c r="D20" s="14">
        <v>0.45700000000000002</v>
      </c>
      <c r="E20" s="14">
        <v>0.27</v>
      </c>
      <c r="F20" s="15">
        <v>1</v>
      </c>
      <c r="J20" s="10">
        <v>10</v>
      </c>
      <c r="K20" s="11">
        <v>304</v>
      </c>
      <c r="L20" s="11">
        <v>0.8</v>
      </c>
      <c r="M20" s="12">
        <v>0.26</v>
      </c>
    </row>
    <row r="21" spans="1:19" ht="15" thickTop="1" x14ac:dyDescent="0.3">
      <c r="J21" s="10">
        <v>11</v>
      </c>
      <c r="K21" s="11">
        <v>334</v>
      </c>
      <c r="L21" s="11">
        <v>0.8</v>
      </c>
      <c r="M21" s="12">
        <v>0.24</v>
      </c>
    </row>
    <row r="22" spans="1:19" x14ac:dyDescent="0.3">
      <c r="D22" t="s">
        <v>5</v>
      </c>
      <c r="J22" s="10">
        <v>12</v>
      </c>
      <c r="K22" s="11">
        <v>365</v>
      </c>
      <c r="L22" s="11">
        <v>0.8</v>
      </c>
      <c r="M22" s="12">
        <v>0.23</v>
      </c>
    </row>
    <row r="23" spans="1:19" ht="15" thickBot="1" x14ac:dyDescent="0.35">
      <c r="J23" s="13"/>
      <c r="K23" s="14"/>
      <c r="L23" s="14"/>
      <c r="M23" s="15"/>
    </row>
    <row r="24" spans="1:19" ht="15" thickTop="1" x14ac:dyDescent="0.3"/>
    <row r="26" spans="1:19" ht="43.2" x14ac:dyDescent="0.3">
      <c r="A26" s="4" t="s">
        <v>41</v>
      </c>
      <c r="B26" s="4" t="s">
        <v>50</v>
      </c>
      <c r="C26" s="4" t="s">
        <v>51</v>
      </c>
      <c r="D26" s="4" t="s">
        <v>33</v>
      </c>
      <c r="E26" s="4" t="s">
        <v>39</v>
      </c>
      <c r="F26" s="4" t="s">
        <v>38</v>
      </c>
      <c r="G26" s="4" t="s">
        <v>34</v>
      </c>
      <c r="H26" s="5" t="s">
        <v>23</v>
      </c>
      <c r="I26" s="5" t="s">
        <v>24</v>
      </c>
      <c r="J26" s="5" t="s">
        <v>25</v>
      </c>
      <c r="K26" s="5" t="s">
        <v>26</v>
      </c>
      <c r="L26" s="5" t="s">
        <v>27</v>
      </c>
      <c r="M26" s="5" t="s">
        <v>28</v>
      </c>
      <c r="N26" s="5" t="s">
        <v>29</v>
      </c>
      <c r="O26" s="5" t="s">
        <v>30</v>
      </c>
      <c r="P26" s="5" t="s">
        <v>31</v>
      </c>
      <c r="Q26" s="5" t="s">
        <v>32</v>
      </c>
      <c r="R26" s="5" t="s">
        <v>52</v>
      </c>
      <c r="S26" s="5" t="s">
        <v>58</v>
      </c>
    </row>
    <row r="27" spans="1:19" x14ac:dyDescent="0.3">
      <c r="A27">
        <v>1</v>
      </c>
      <c r="B27">
        <v>6.1</v>
      </c>
      <c r="C27">
        <v>-6.7</v>
      </c>
      <c r="D27">
        <v>0</v>
      </c>
      <c r="E27" s="3">
        <v>0</v>
      </c>
      <c r="F27" s="3">
        <v>0</v>
      </c>
      <c r="G27" s="3">
        <v>0</v>
      </c>
      <c r="H27" s="3"/>
      <c r="I27" s="3"/>
      <c r="J27" s="3"/>
      <c r="K27" s="3"/>
      <c r="L27" s="3"/>
      <c r="M27" s="3"/>
      <c r="N27" s="3"/>
      <c r="O27" s="3"/>
      <c r="P27" s="3"/>
      <c r="Q27" s="3"/>
      <c r="R27" s="3">
        <v>-10.543548387096774</v>
      </c>
      <c r="S27">
        <v>6.8735380645161284E-2</v>
      </c>
    </row>
    <row r="28" spans="1:19" x14ac:dyDescent="0.3">
      <c r="A28">
        <v>2</v>
      </c>
      <c r="B28">
        <v>-1.1000000000000001</v>
      </c>
      <c r="C28">
        <v>-7.2</v>
      </c>
      <c r="D28">
        <v>10.7</v>
      </c>
      <c r="E28" s="3">
        <v>0</v>
      </c>
      <c r="F28" s="3">
        <v>0</v>
      </c>
      <c r="G28" s="3">
        <v>0</v>
      </c>
      <c r="H28" s="3"/>
      <c r="I28" s="3"/>
      <c r="J28" s="3"/>
      <c r="K28" s="3"/>
      <c r="L28" s="3"/>
      <c r="M28" s="3"/>
      <c r="N28" s="3"/>
      <c r="O28" s="3"/>
      <c r="P28" s="3"/>
      <c r="Q28" s="3"/>
      <c r="R28" s="3">
        <v>-10.543548387096774</v>
      </c>
      <c r="S28">
        <v>6.8735380645161284E-2</v>
      </c>
    </row>
    <row r="29" spans="1:19" x14ac:dyDescent="0.3">
      <c r="A29">
        <v>3</v>
      </c>
      <c r="B29">
        <v>-6.7</v>
      </c>
      <c r="C29">
        <v>-15.6</v>
      </c>
      <c r="D29">
        <v>0.3</v>
      </c>
      <c r="E29" s="3">
        <v>0</v>
      </c>
      <c r="F29" s="3">
        <v>0</v>
      </c>
      <c r="G29" s="3">
        <v>0</v>
      </c>
      <c r="H29" s="3"/>
      <c r="I29" s="3"/>
      <c r="J29" s="3"/>
      <c r="K29" s="3"/>
      <c r="L29" s="3"/>
      <c r="M29" s="3"/>
      <c r="N29" s="3"/>
      <c r="O29" s="3"/>
      <c r="P29" s="3"/>
      <c r="Q29" s="3"/>
      <c r="R29" s="3">
        <v>-10.543548387096774</v>
      </c>
      <c r="S29">
        <v>6.8735380645161284E-2</v>
      </c>
    </row>
    <row r="30" spans="1:19" x14ac:dyDescent="0.3">
      <c r="A30">
        <v>4</v>
      </c>
      <c r="B30">
        <v>-6.7</v>
      </c>
      <c r="C30">
        <v>-9.4</v>
      </c>
      <c r="D30">
        <v>0</v>
      </c>
      <c r="E30" s="3">
        <v>0</v>
      </c>
      <c r="F30" s="3">
        <v>0</v>
      </c>
      <c r="G30" s="3">
        <v>0</v>
      </c>
      <c r="H30" s="3"/>
      <c r="I30" s="3"/>
      <c r="J30" s="3"/>
      <c r="K30" s="3"/>
      <c r="L30" s="3"/>
      <c r="M30" s="3"/>
      <c r="N30" s="3"/>
      <c r="O30" s="3"/>
      <c r="P30" s="3"/>
      <c r="Q30" s="3"/>
      <c r="R30" s="3">
        <v>-10.543548387096774</v>
      </c>
      <c r="S30">
        <v>6.8735380645161284E-2</v>
      </c>
    </row>
    <row r="31" spans="1:19" x14ac:dyDescent="0.3">
      <c r="A31">
        <v>5</v>
      </c>
      <c r="B31">
        <v>-3.3</v>
      </c>
      <c r="C31">
        <v>-11.1</v>
      </c>
      <c r="D31">
        <v>0</v>
      </c>
      <c r="E31" s="3">
        <v>0</v>
      </c>
      <c r="F31" s="3">
        <v>0</v>
      </c>
      <c r="G31" s="3">
        <v>0</v>
      </c>
      <c r="H31" s="3"/>
      <c r="I31" s="3"/>
      <c r="J31" s="3"/>
      <c r="K31" s="3"/>
      <c r="L31" s="3"/>
      <c r="M31" s="3"/>
      <c r="N31" s="3"/>
      <c r="O31" s="3"/>
      <c r="P31" s="3"/>
      <c r="Q31" s="3"/>
      <c r="R31" s="3">
        <v>-10.543548387096774</v>
      </c>
      <c r="S31">
        <v>6.8735380645161284E-2</v>
      </c>
    </row>
    <row r="32" spans="1:19" x14ac:dyDescent="0.3">
      <c r="A32">
        <v>6</v>
      </c>
      <c r="B32">
        <v>-2.8</v>
      </c>
      <c r="C32">
        <v>-21.1</v>
      </c>
      <c r="D32">
        <v>0</v>
      </c>
      <c r="E32" s="3">
        <v>0</v>
      </c>
      <c r="F32" s="3">
        <v>0</v>
      </c>
      <c r="G32" s="3">
        <v>0</v>
      </c>
      <c r="H32" s="3"/>
      <c r="I32" s="3"/>
      <c r="J32" s="3"/>
      <c r="K32" s="3"/>
      <c r="L32" s="3"/>
      <c r="M32" s="3"/>
      <c r="N32" s="3"/>
      <c r="O32" s="3"/>
      <c r="P32" s="3"/>
      <c r="Q32" s="3"/>
      <c r="R32" s="3">
        <v>-10.543548387096774</v>
      </c>
      <c r="S32">
        <v>6.8735380645161284E-2</v>
      </c>
    </row>
    <row r="33" spans="1:19" x14ac:dyDescent="0.3">
      <c r="A33">
        <v>7</v>
      </c>
      <c r="B33">
        <v>-15.6</v>
      </c>
      <c r="C33">
        <v>-23.3</v>
      </c>
      <c r="D33">
        <v>0</v>
      </c>
      <c r="E33" s="3">
        <v>0</v>
      </c>
      <c r="F33" s="3">
        <v>0</v>
      </c>
      <c r="G33" s="3">
        <v>0</v>
      </c>
      <c r="H33" s="3"/>
      <c r="I33" s="3"/>
      <c r="J33" s="3"/>
      <c r="K33" s="3"/>
      <c r="L33" s="3"/>
      <c r="M33" s="3"/>
      <c r="N33" s="3"/>
      <c r="O33" s="3"/>
      <c r="P33" s="3"/>
      <c r="Q33" s="3"/>
      <c r="R33" s="3">
        <v>-10.543548387096774</v>
      </c>
      <c r="S33">
        <v>6.8735380645161284E-2</v>
      </c>
    </row>
    <row r="34" spans="1:19" x14ac:dyDescent="0.3">
      <c r="A34">
        <v>8</v>
      </c>
      <c r="B34">
        <v>-10.6</v>
      </c>
      <c r="C34">
        <v>-22.8</v>
      </c>
      <c r="D34">
        <v>0</v>
      </c>
      <c r="E34" s="3">
        <v>0</v>
      </c>
      <c r="F34" s="3">
        <v>0</v>
      </c>
      <c r="G34" s="3">
        <v>0</v>
      </c>
      <c r="H34" s="3"/>
      <c r="I34" s="3"/>
      <c r="J34" s="3"/>
      <c r="K34" s="3"/>
      <c r="L34" s="3"/>
      <c r="M34" s="3"/>
      <c r="N34" s="3"/>
      <c r="O34" s="3"/>
      <c r="P34" s="3"/>
      <c r="Q34" s="3"/>
      <c r="R34" s="3">
        <v>-10.543548387096774</v>
      </c>
      <c r="S34">
        <v>6.8735380645161284E-2</v>
      </c>
    </row>
    <row r="35" spans="1:19" x14ac:dyDescent="0.3">
      <c r="A35">
        <v>9</v>
      </c>
      <c r="B35">
        <v>-6.1</v>
      </c>
      <c r="C35">
        <v>-17.2</v>
      </c>
      <c r="D35">
        <v>0</v>
      </c>
      <c r="E35" s="3">
        <v>0</v>
      </c>
      <c r="F35" s="3">
        <v>0</v>
      </c>
      <c r="G35" s="3">
        <v>0</v>
      </c>
      <c r="H35" s="3"/>
      <c r="I35" s="3"/>
      <c r="J35" s="3"/>
      <c r="K35" s="3"/>
      <c r="L35" s="3"/>
      <c r="M35" s="3"/>
      <c r="N35" s="3"/>
      <c r="O35" s="3"/>
      <c r="P35" s="3"/>
      <c r="Q35" s="3"/>
      <c r="R35" s="3">
        <v>-10.543548387096774</v>
      </c>
      <c r="S35">
        <v>6.8735380645161284E-2</v>
      </c>
    </row>
    <row r="36" spans="1:19" x14ac:dyDescent="0.3">
      <c r="A36">
        <v>10</v>
      </c>
      <c r="B36">
        <v>1.7</v>
      </c>
      <c r="C36">
        <v>-6.1</v>
      </c>
      <c r="D36">
        <v>1.3</v>
      </c>
      <c r="E36" s="3">
        <v>0</v>
      </c>
      <c r="F36" s="3">
        <v>0</v>
      </c>
      <c r="G36" s="3">
        <v>0</v>
      </c>
      <c r="H36" s="3"/>
      <c r="I36" s="3"/>
      <c r="J36" s="3"/>
      <c r="K36" s="3"/>
      <c r="L36" s="3"/>
      <c r="M36" s="3"/>
      <c r="N36" s="3"/>
      <c r="O36" s="3"/>
      <c r="P36" s="3"/>
      <c r="Q36" s="3"/>
      <c r="R36" s="3">
        <v>-10.543548387096774</v>
      </c>
      <c r="S36">
        <v>6.8735380645161284E-2</v>
      </c>
    </row>
    <row r="37" spans="1:19" x14ac:dyDescent="0.3">
      <c r="A37">
        <v>11</v>
      </c>
      <c r="B37">
        <v>-5.6</v>
      </c>
      <c r="C37">
        <v>-15</v>
      </c>
      <c r="D37">
        <v>0</v>
      </c>
      <c r="E37" s="3">
        <v>0</v>
      </c>
      <c r="F37" s="3">
        <v>0</v>
      </c>
      <c r="G37" s="3">
        <v>0</v>
      </c>
      <c r="H37" s="3"/>
      <c r="I37" s="3"/>
      <c r="J37" s="3"/>
      <c r="K37" s="3"/>
      <c r="L37" s="3"/>
      <c r="M37" s="3"/>
      <c r="N37" s="3"/>
      <c r="O37" s="3"/>
      <c r="P37" s="3"/>
      <c r="Q37" s="3"/>
      <c r="R37" s="3">
        <v>-10.543548387096774</v>
      </c>
      <c r="S37">
        <v>6.8735380645161284E-2</v>
      </c>
    </row>
    <row r="38" spans="1:19" x14ac:dyDescent="0.3">
      <c r="A38">
        <v>12</v>
      </c>
      <c r="B38">
        <v>0.6</v>
      </c>
      <c r="C38">
        <v>-10.6</v>
      </c>
      <c r="D38">
        <v>0.3</v>
      </c>
      <c r="E38" s="3">
        <v>0</v>
      </c>
      <c r="F38" s="3">
        <v>0</v>
      </c>
      <c r="G38" s="3">
        <v>0</v>
      </c>
      <c r="H38" s="3"/>
      <c r="I38" s="3"/>
      <c r="J38" s="3"/>
      <c r="K38" s="3"/>
      <c r="L38" s="3"/>
      <c r="M38" s="3"/>
      <c r="N38" s="3"/>
      <c r="O38" s="3"/>
      <c r="P38" s="3"/>
      <c r="Q38" s="3"/>
      <c r="R38" s="3">
        <v>-10.543548387096774</v>
      </c>
      <c r="S38">
        <v>6.8735380645161284E-2</v>
      </c>
    </row>
    <row r="39" spans="1:19" x14ac:dyDescent="0.3">
      <c r="A39">
        <v>13</v>
      </c>
      <c r="B39">
        <v>-8.3000000000000007</v>
      </c>
      <c r="C39">
        <v>-17.8</v>
      </c>
      <c r="D39">
        <v>2.5</v>
      </c>
      <c r="E39" s="3">
        <v>0</v>
      </c>
      <c r="F39" s="3">
        <v>0</v>
      </c>
      <c r="G39" s="3">
        <v>0</v>
      </c>
      <c r="H39" s="3"/>
      <c r="I39" s="3"/>
      <c r="J39" s="3"/>
      <c r="K39" s="3"/>
      <c r="L39" s="3"/>
      <c r="M39" s="3"/>
      <c r="N39" s="3"/>
      <c r="O39" s="3"/>
      <c r="P39" s="3"/>
      <c r="Q39" s="3"/>
      <c r="R39" s="3">
        <v>-10.543548387096774</v>
      </c>
      <c r="S39">
        <v>6.8735380645161284E-2</v>
      </c>
    </row>
    <row r="40" spans="1:19" x14ac:dyDescent="0.3">
      <c r="A40">
        <v>14</v>
      </c>
      <c r="B40">
        <v>-17.2</v>
      </c>
      <c r="C40">
        <v>-22.2</v>
      </c>
      <c r="D40">
        <v>0</v>
      </c>
      <c r="E40" s="3">
        <v>0</v>
      </c>
      <c r="F40" s="3">
        <v>0</v>
      </c>
      <c r="G40" s="3">
        <v>0</v>
      </c>
      <c r="H40" s="3"/>
      <c r="I40" s="3"/>
      <c r="J40" s="3"/>
      <c r="K40" s="3"/>
      <c r="L40" s="3"/>
      <c r="M40" s="3"/>
      <c r="N40" s="3"/>
      <c r="O40" s="3"/>
      <c r="P40" s="3"/>
      <c r="Q40" s="3"/>
      <c r="R40" s="3">
        <v>-10.543548387096774</v>
      </c>
      <c r="S40">
        <v>6.8735380645161284E-2</v>
      </c>
    </row>
    <row r="41" spans="1:19" x14ac:dyDescent="0.3">
      <c r="A41">
        <v>15</v>
      </c>
      <c r="B41">
        <v>-22.2</v>
      </c>
      <c r="C41">
        <v>-27.8</v>
      </c>
      <c r="D41">
        <v>0</v>
      </c>
      <c r="E41" s="3">
        <v>0</v>
      </c>
      <c r="F41" s="3">
        <v>0</v>
      </c>
      <c r="G41" s="3">
        <v>0</v>
      </c>
      <c r="H41" s="3"/>
      <c r="I41" s="3"/>
      <c r="J41" s="3"/>
      <c r="K41" s="3"/>
      <c r="L41" s="3"/>
      <c r="M41" s="3"/>
      <c r="N41" s="3"/>
      <c r="O41" s="3"/>
      <c r="P41" s="3"/>
      <c r="Q41" s="3"/>
      <c r="R41" s="3">
        <v>-10.543548387096774</v>
      </c>
      <c r="S41">
        <v>6.8735380645161284E-2</v>
      </c>
    </row>
    <row r="42" spans="1:19" x14ac:dyDescent="0.3">
      <c r="A42">
        <v>16</v>
      </c>
      <c r="B42">
        <v>-8.3000000000000007</v>
      </c>
      <c r="C42">
        <v>-22.8</v>
      </c>
      <c r="D42">
        <v>1.3</v>
      </c>
      <c r="E42" s="3">
        <v>0</v>
      </c>
      <c r="F42" s="3">
        <v>0</v>
      </c>
      <c r="G42" s="3">
        <v>0</v>
      </c>
      <c r="H42" s="3"/>
      <c r="I42" s="3"/>
      <c r="J42" s="3"/>
      <c r="K42" s="3"/>
      <c r="L42" s="3"/>
      <c r="M42" s="3"/>
      <c r="N42" s="3"/>
      <c r="O42" s="3"/>
      <c r="P42" s="3"/>
      <c r="Q42" s="3"/>
      <c r="R42" s="3">
        <v>-10.543548387096774</v>
      </c>
      <c r="S42">
        <v>6.8735380645161284E-2</v>
      </c>
    </row>
    <row r="43" spans="1:19" x14ac:dyDescent="0.3">
      <c r="A43">
        <v>17</v>
      </c>
      <c r="B43">
        <v>-18.3</v>
      </c>
      <c r="C43">
        <v>-25</v>
      </c>
      <c r="D43">
        <v>0</v>
      </c>
      <c r="E43" s="3">
        <v>0</v>
      </c>
      <c r="F43" s="3">
        <v>0</v>
      </c>
      <c r="G43" s="3">
        <v>0</v>
      </c>
      <c r="H43" s="3"/>
      <c r="I43" s="3"/>
      <c r="J43" s="3"/>
      <c r="K43" s="3"/>
      <c r="L43" s="3"/>
      <c r="M43" s="3"/>
      <c r="N43" s="3"/>
      <c r="O43" s="3"/>
      <c r="P43" s="3"/>
      <c r="Q43" s="3"/>
      <c r="R43" s="3">
        <v>-10.543548387096774</v>
      </c>
      <c r="S43">
        <v>6.8735380645161284E-2</v>
      </c>
    </row>
    <row r="44" spans="1:19" x14ac:dyDescent="0.3">
      <c r="A44">
        <v>18</v>
      </c>
      <c r="B44">
        <v>-22.8</v>
      </c>
      <c r="C44">
        <v>-26.7</v>
      </c>
      <c r="D44">
        <v>0</v>
      </c>
      <c r="E44" s="3">
        <v>0</v>
      </c>
      <c r="F44" s="3">
        <v>0</v>
      </c>
      <c r="G44" s="3">
        <v>0</v>
      </c>
      <c r="H44" s="3"/>
      <c r="I44" s="3"/>
      <c r="J44" s="3"/>
      <c r="K44" s="3"/>
      <c r="L44" s="3"/>
      <c r="M44" s="3"/>
      <c r="N44" s="3"/>
      <c r="O44" s="3"/>
      <c r="P44" s="3"/>
      <c r="Q44" s="3"/>
      <c r="R44" s="3">
        <v>-10.543548387096774</v>
      </c>
      <c r="S44">
        <v>6.8735380645161284E-2</v>
      </c>
    </row>
    <row r="45" spans="1:19" x14ac:dyDescent="0.3">
      <c r="A45">
        <v>19</v>
      </c>
      <c r="B45">
        <v>-8.9</v>
      </c>
      <c r="C45">
        <v>-24.4</v>
      </c>
      <c r="D45">
        <v>0.8</v>
      </c>
      <c r="E45" s="3">
        <v>0</v>
      </c>
      <c r="F45" s="3">
        <v>0</v>
      </c>
      <c r="G45" s="3">
        <v>0</v>
      </c>
      <c r="H45" s="3"/>
      <c r="I45" s="3"/>
      <c r="J45" s="3"/>
      <c r="K45" s="3"/>
      <c r="L45" s="3"/>
      <c r="M45" s="3"/>
      <c r="N45" s="3"/>
      <c r="O45" s="3"/>
      <c r="P45" s="3"/>
      <c r="Q45" s="3"/>
      <c r="R45" s="3">
        <v>-10.543548387096774</v>
      </c>
      <c r="S45">
        <v>6.8735380645161284E-2</v>
      </c>
    </row>
    <row r="46" spans="1:19" x14ac:dyDescent="0.3">
      <c r="A46">
        <v>20</v>
      </c>
      <c r="B46">
        <v>-13.3</v>
      </c>
      <c r="C46">
        <v>-24.4</v>
      </c>
      <c r="D46">
        <v>0</v>
      </c>
      <c r="E46" s="3">
        <v>0</v>
      </c>
      <c r="F46" s="3">
        <v>0</v>
      </c>
      <c r="G46" s="3">
        <v>0</v>
      </c>
      <c r="H46" s="3"/>
      <c r="I46" s="3"/>
      <c r="J46" s="3"/>
      <c r="K46" s="3"/>
      <c r="L46" s="3"/>
      <c r="M46" s="3"/>
      <c r="N46" s="3"/>
      <c r="O46" s="3"/>
      <c r="P46" s="3"/>
      <c r="Q46" s="3"/>
      <c r="R46" s="3">
        <v>-10.543548387096774</v>
      </c>
      <c r="S46">
        <v>6.8735380645161284E-2</v>
      </c>
    </row>
    <row r="47" spans="1:19" x14ac:dyDescent="0.3">
      <c r="A47">
        <v>21</v>
      </c>
      <c r="B47">
        <v>2.8</v>
      </c>
      <c r="C47">
        <v>-18.899999999999999</v>
      </c>
      <c r="D47">
        <v>0</v>
      </c>
      <c r="E47" s="3">
        <v>0</v>
      </c>
      <c r="F47" s="3">
        <v>0</v>
      </c>
      <c r="G47" s="3">
        <v>0</v>
      </c>
      <c r="H47" s="3"/>
      <c r="I47" s="3"/>
      <c r="J47" s="3"/>
      <c r="K47" s="3"/>
      <c r="L47" s="3"/>
      <c r="M47" s="3"/>
      <c r="N47" s="3"/>
      <c r="O47" s="3"/>
      <c r="P47" s="3"/>
      <c r="Q47" s="3"/>
      <c r="R47" s="3">
        <v>-10.543548387096774</v>
      </c>
      <c r="S47">
        <v>6.8735380645161284E-2</v>
      </c>
    </row>
    <row r="48" spans="1:19" x14ac:dyDescent="0.3">
      <c r="A48">
        <v>22</v>
      </c>
      <c r="B48">
        <v>5.6</v>
      </c>
      <c r="C48">
        <v>-8.3000000000000007</v>
      </c>
      <c r="D48">
        <v>0</v>
      </c>
      <c r="E48" s="3">
        <v>0</v>
      </c>
      <c r="F48" s="3">
        <v>0</v>
      </c>
      <c r="G48" s="3">
        <v>0</v>
      </c>
      <c r="H48" s="3"/>
      <c r="I48" s="3"/>
      <c r="J48" s="3"/>
      <c r="K48" s="3"/>
      <c r="L48" s="3"/>
      <c r="M48" s="3"/>
      <c r="N48" s="3"/>
      <c r="O48" s="3"/>
      <c r="P48" s="3"/>
      <c r="Q48" s="3"/>
      <c r="R48" s="3">
        <v>-10.543548387096774</v>
      </c>
      <c r="S48">
        <v>6.8735380645161284E-2</v>
      </c>
    </row>
    <row r="49" spans="1:19" x14ac:dyDescent="0.3">
      <c r="A49">
        <v>23</v>
      </c>
      <c r="B49">
        <v>8.9</v>
      </c>
      <c r="C49">
        <v>-2.8</v>
      </c>
      <c r="D49">
        <v>0</v>
      </c>
      <c r="E49" s="3">
        <v>0</v>
      </c>
      <c r="F49" s="3">
        <v>0</v>
      </c>
      <c r="G49" s="3">
        <v>0</v>
      </c>
      <c r="H49" s="3"/>
      <c r="I49" s="3"/>
      <c r="J49" s="3"/>
      <c r="K49" s="3"/>
      <c r="L49" s="3"/>
      <c r="M49" s="3"/>
      <c r="N49" s="3"/>
      <c r="O49" s="3"/>
      <c r="P49" s="3"/>
      <c r="Q49" s="3"/>
      <c r="R49" s="3">
        <v>-10.543548387096774</v>
      </c>
      <c r="S49">
        <v>6.8735380645161284E-2</v>
      </c>
    </row>
    <row r="50" spans="1:19" x14ac:dyDescent="0.3">
      <c r="A50">
        <v>24</v>
      </c>
      <c r="B50">
        <v>2.8</v>
      </c>
      <c r="C50">
        <v>-2.2000000000000002</v>
      </c>
      <c r="D50">
        <v>0</v>
      </c>
      <c r="E50" s="3">
        <v>0</v>
      </c>
      <c r="F50" s="3">
        <v>0</v>
      </c>
      <c r="G50" s="3">
        <v>0</v>
      </c>
      <c r="H50" s="3"/>
      <c r="I50" s="3"/>
      <c r="J50" s="3"/>
      <c r="K50" s="3"/>
      <c r="L50" s="3"/>
      <c r="M50" s="3"/>
      <c r="N50" s="3"/>
      <c r="O50" s="3"/>
      <c r="P50" s="3"/>
      <c r="Q50" s="3"/>
      <c r="R50" s="3">
        <v>-10.543548387096774</v>
      </c>
      <c r="S50">
        <v>6.8735380645161284E-2</v>
      </c>
    </row>
    <row r="51" spans="1:19" x14ac:dyDescent="0.3">
      <c r="A51">
        <v>25</v>
      </c>
      <c r="B51">
        <v>1.7</v>
      </c>
      <c r="C51">
        <v>-3.3</v>
      </c>
      <c r="D51">
        <v>1.5</v>
      </c>
      <c r="E51" s="3">
        <v>0</v>
      </c>
      <c r="F51" s="3">
        <v>0</v>
      </c>
      <c r="G51" s="3">
        <v>0</v>
      </c>
      <c r="H51" s="3"/>
      <c r="I51" s="3"/>
      <c r="J51" s="3"/>
      <c r="K51" s="3"/>
      <c r="L51" s="3"/>
      <c r="M51" s="3"/>
      <c r="N51" s="3"/>
      <c r="O51" s="3"/>
      <c r="P51" s="3"/>
      <c r="Q51" s="3"/>
      <c r="R51" s="3">
        <v>-10.543548387096774</v>
      </c>
      <c r="S51">
        <v>6.8735380645161284E-2</v>
      </c>
    </row>
    <row r="52" spans="1:19" x14ac:dyDescent="0.3">
      <c r="A52">
        <v>26</v>
      </c>
      <c r="B52">
        <v>-2.8</v>
      </c>
      <c r="C52">
        <v>-5</v>
      </c>
      <c r="D52">
        <v>9.1</v>
      </c>
      <c r="E52" s="3">
        <v>0</v>
      </c>
      <c r="F52" s="3">
        <v>0</v>
      </c>
      <c r="G52" s="3">
        <v>0</v>
      </c>
      <c r="H52" s="3"/>
      <c r="I52" s="3"/>
      <c r="J52" s="3"/>
      <c r="K52" s="3"/>
      <c r="L52" s="3"/>
      <c r="M52" s="3"/>
      <c r="N52" s="3"/>
      <c r="O52" s="3"/>
      <c r="P52" s="3"/>
      <c r="Q52" s="3"/>
      <c r="R52" s="3">
        <v>-10.543548387096774</v>
      </c>
      <c r="S52">
        <v>6.8735380645161284E-2</v>
      </c>
    </row>
    <row r="53" spans="1:19" x14ac:dyDescent="0.3">
      <c r="A53">
        <v>27</v>
      </c>
      <c r="B53">
        <v>-1.1000000000000001</v>
      </c>
      <c r="C53">
        <v>-7.8</v>
      </c>
      <c r="D53">
        <v>2</v>
      </c>
      <c r="E53" s="3">
        <v>0</v>
      </c>
      <c r="F53" s="3">
        <v>0</v>
      </c>
      <c r="G53" s="3">
        <v>0</v>
      </c>
      <c r="H53" s="3"/>
      <c r="I53" s="3"/>
      <c r="J53" s="3"/>
      <c r="K53" s="3"/>
      <c r="L53" s="3"/>
      <c r="M53" s="3"/>
      <c r="N53" s="3"/>
      <c r="O53" s="3"/>
      <c r="P53" s="3"/>
      <c r="Q53" s="3"/>
      <c r="R53" s="3">
        <v>-10.543548387096774</v>
      </c>
      <c r="S53">
        <v>6.8735380645161284E-2</v>
      </c>
    </row>
    <row r="54" spans="1:19" x14ac:dyDescent="0.3">
      <c r="A54">
        <v>28</v>
      </c>
      <c r="B54">
        <v>-3.9</v>
      </c>
      <c r="C54">
        <v>-8.9</v>
      </c>
      <c r="D54">
        <v>0</v>
      </c>
      <c r="E54" s="3">
        <v>0</v>
      </c>
      <c r="F54" s="3">
        <v>0</v>
      </c>
      <c r="G54" s="3">
        <v>0</v>
      </c>
      <c r="H54" s="3"/>
      <c r="I54" s="3"/>
      <c r="J54" s="3"/>
      <c r="K54" s="3"/>
      <c r="L54" s="3"/>
      <c r="M54" s="3"/>
      <c r="N54" s="3"/>
      <c r="O54" s="3"/>
      <c r="P54" s="3"/>
      <c r="Q54" s="3"/>
      <c r="R54" s="3">
        <v>-10.543548387096774</v>
      </c>
      <c r="S54">
        <v>6.8735380645161284E-2</v>
      </c>
    </row>
    <row r="55" spans="1:19" x14ac:dyDescent="0.3">
      <c r="A55">
        <v>29</v>
      </c>
      <c r="B55">
        <v>-4.4000000000000004</v>
      </c>
      <c r="C55">
        <v>-12.8</v>
      </c>
      <c r="D55">
        <v>1</v>
      </c>
      <c r="E55" s="3">
        <v>0</v>
      </c>
      <c r="F55" s="3">
        <v>0</v>
      </c>
      <c r="G55" s="3">
        <v>0</v>
      </c>
      <c r="H55" s="3"/>
      <c r="I55" s="3"/>
      <c r="J55" s="3"/>
      <c r="K55" s="3"/>
      <c r="L55" s="3"/>
      <c r="M55" s="3"/>
      <c r="N55" s="3"/>
      <c r="O55" s="3"/>
      <c r="P55" s="3"/>
      <c r="Q55" s="3"/>
      <c r="R55" s="3">
        <v>-10.543548387096774</v>
      </c>
      <c r="S55">
        <v>6.8735380645161284E-2</v>
      </c>
    </row>
    <row r="56" spans="1:19" x14ac:dyDescent="0.3">
      <c r="A56">
        <v>30</v>
      </c>
      <c r="B56">
        <v>-10</v>
      </c>
      <c r="C56">
        <v>-20.6</v>
      </c>
      <c r="D56">
        <v>0.3</v>
      </c>
      <c r="E56" s="3">
        <v>0</v>
      </c>
      <c r="F56" s="3">
        <v>0</v>
      </c>
      <c r="G56" s="3">
        <v>0</v>
      </c>
      <c r="H56" s="3"/>
      <c r="I56" s="3"/>
      <c r="J56" s="3"/>
      <c r="K56" s="3"/>
      <c r="L56" s="3"/>
      <c r="M56" s="3"/>
      <c r="N56" s="3"/>
      <c r="O56" s="3"/>
      <c r="P56" s="3"/>
      <c r="Q56" s="3"/>
      <c r="R56" s="3">
        <v>-10.543548387096774</v>
      </c>
      <c r="S56">
        <v>6.8735380645161284E-2</v>
      </c>
    </row>
    <row r="57" spans="1:19" x14ac:dyDescent="0.3">
      <c r="A57">
        <v>31</v>
      </c>
      <c r="B57">
        <v>-12.2</v>
      </c>
      <c r="C57">
        <v>-23.9</v>
      </c>
      <c r="D57">
        <v>0</v>
      </c>
      <c r="E57" s="3">
        <v>0</v>
      </c>
      <c r="F57" s="3">
        <v>0</v>
      </c>
      <c r="G57" s="3">
        <v>0</v>
      </c>
      <c r="H57" s="3"/>
      <c r="I57" s="3"/>
      <c r="J57" s="3"/>
      <c r="K57" s="3"/>
      <c r="L57" s="3"/>
      <c r="M57" s="3"/>
      <c r="N57" s="3"/>
      <c r="O57" s="3"/>
      <c r="P57" s="3"/>
      <c r="Q57" s="3"/>
      <c r="R57" s="3">
        <v>-10.543548387096774</v>
      </c>
      <c r="S57">
        <v>6.8735380645161284E-2</v>
      </c>
    </row>
    <row r="58" spans="1:19" x14ac:dyDescent="0.3">
      <c r="A58">
        <v>32</v>
      </c>
      <c r="B58">
        <v>-6.1</v>
      </c>
      <c r="C58">
        <v>-19.399999999999999</v>
      </c>
      <c r="D58">
        <v>0</v>
      </c>
      <c r="E58" s="3">
        <v>0</v>
      </c>
      <c r="F58" s="3">
        <v>0</v>
      </c>
      <c r="G58" s="3">
        <v>0</v>
      </c>
      <c r="H58" s="3"/>
      <c r="I58" s="3"/>
      <c r="J58" s="3"/>
      <c r="K58" s="3"/>
      <c r="L58" s="3"/>
      <c r="M58" s="3"/>
      <c r="N58" s="3"/>
      <c r="O58" s="3"/>
      <c r="P58" s="3"/>
      <c r="Q58" s="3"/>
      <c r="R58" s="3">
        <v>-5.9839285714285708</v>
      </c>
      <c r="S58">
        <v>0.11354785714285716</v>
      </c>
    </row>
    <row r="59" spans="1:19" x14ac:dyDescent="0.3">
      <c r="A59">
        <v>33</v>
      </c>
      <c r="B59">
        <v>-3.3</v>
      </c>
      <c r="C59">
        <v>-16.7</v>
      </c>
      <c r="D59">
        <v>0</v>
      </c>
      <c r="E59" s="3">
        <v>0</v>
      </c>
      <c r="F59" s="3">
        <v>0</v>
      </c>
      <c r="G59" s="3">
        <v>0</v>
      </c>
      <c r="H59" s="3"/>
      <c r="I59" s="3"/>
      <c r="J59" s="3"/>
      <c r="K59" s="3"/>
      <c r="L59" s="3"/>
      <c r="M59" s="3"/>
      <c r="N59" s="3"/>
      <c r="O59" s="3"/>
      <c r="P59" s="3"/>
      <c r="Q59" s="3"/>
      <c r="R59" s="3">
        <v>-5.9839285714285708</v>
      </c>
      <c r="S59">
        <v>0.11354785714285716</v>
      </c>
    </row>
    <row r="60" spans="1:19" x14ac:dyDescent="0.3">
      <c r="A60">
        <v>34</v>
      </c>
      <c r="B60">
        <v>-3.3</v>
      </c>
      <c r="C60">
        <v>-13.3</v>
      </c>
      <c r="D60">
        <v>0</v>
      </c>
      <c r="E60" s="3">
        <v>0</v>
      </c>
      <c r="F60" s="3">
        <v>0</v>
      </c>
      <c r="G60" s="3">
        <v>0</v>
      </c>
      <c r="H60" s="3"/>
      <c r="I60" s="3"/>
      <c r="J60" s="3"/>
      <c r="K60" s="3"/>
      <c r="L60" s="3"/>
      <c r="M60" s="3"/>
      <c r="N60" s="3"/>
      <c r="O60" s="3"/>
      <c r="P60" s="3"/>
      <c r="Q60" s="3"/>
      <c r="R60" s="3">
        <v>-5.9839285714285708</v>
      </c>
      <c r="S60">
        <v>0.11354785714285716</v>
      </c>
    </row>
    <row r="61" spans="1:19" x14ac:dyDescent="0.3">
      <c r="A61">
        <v>35</v>
      </c>
      <c r="B61">
        <v>-3.9</v>
      </c>
      <c r="C61">
        <v>-13.9</v>
      </c>
      <c r="D61">
        <v>0</v>
      </c>
      <c r="E61" s="3">
        <v>0</v>
      </c>
      <c r="F61" s="3">
        <v>0</v>
      </c>
      <c r="G61" s="3">
        <v>0</v>
      </c>
      <c r="H61" s="3"/>
      <c r="I61" s="3"/>
      <c r="J61" s="3"/>
      <c r="K61" s="3"/>
      <c r="L61" s="3"/>
      <c r="M61" s="3"/>
      <c r="N61" s="3"/>
      <c r="O61" s="3"/>
      <c r="P61" s="3"/>
      <c r="Q61" s="3"/>
      <c r="R61" s="3">
        <v>-5.9839285714285708</v>
      </c>
      <c r="S61">
        <v>0.11354785714285716</v>
      </c>
    </row>
    <row r="62" spans="1:19" x14ac:dyDescent="0.3">
      <c r="A62">
        <v>36</v>
      </c>
      <c r="B62">
        <v>0.6</v>
      </c>
      <c r="C62">
        <v>-9.4</v>
      </c>
      <c r="D62">
        <v>0</v>
      </c>
      <c r="E62" s="3">
        <v>0</v>
      </c>
      <c r="F62" s="3">
        <v>0</v>
      </c>
      <c r="G62" s="3">
        <v>0</v>
      </c>
      <c r="H62" s="3"/>
      <c r="I62" s="3"/>
      <c r="J62" s="3"/>
      <c r="K62" s="3"/>
      <c r="L62" s="3"/>
      <c r="M62" s="3"/>
      <c r="N62" s="3"/>
      <c r="O62" s="3"/>
      <c r="P62" s="3"/>
      <c r="Q62" s="3"/>
      <c r="R62" s="3">
        <v>-5.9839285714285708</v>
      </c>
      <c r="S62">
        <v>0.11354785714285716</v>
      </c>
    </row>
    <row r="63" spans="1:19" x14ac:dyDescent="0.3">
      <c r="A63">
        <v>37</v>
      </c>
      <c r="B63">
        <v>0.6</v>
      </c>
      <c r="C63">
        <v>-15.6</v>
      </c>
      <c r="D63">
        <v>0</v>
      </c>
      <c r="E63" s="3">
        <v>0</v>
      </c>
      <c r="F63" s="3">
        <v>0</v>
      </c>
      <c r="G63" s="3">
        <v>0</v>
      </c>
      <c r="H63" s="3"/>
      <c r="I63" s="3"/>
      <c r="J63" s="3"/>
      <c r="K63" s="3"/>
      <c r="L63" s="3"/>
      <c r="M63" s="3"/>
      <c r="N63" s="3"/>
      <c r="O63" s="3"/>
      <c r="P63" s="3"/>
      <c r="Q63" s="3"/>
      <c r="R63" s="3">
        <v>-5.9839285714285708</v>
      </c>
      <c r="S63">
        <v>0.11354785714285716</v>
      </c>
    </row>
    <row r="64" spans="1:19" x14ac:dyDescent="0.3">
      <c r="A64">
        <v>38</v>
      </c>
      <c r="B64">
        <v>-15</v>
      </c>
      <c r="C64">
        <v>-21.7</v>
      </c>
      <c r="D64">
        <v>0</v>
      </c>
      <c r="E64" s="3">
        <v>0</v>
      </c>
      <c r="F64" s="3">
        <v>0</v>
      </c>
      <c r="G64" s="3">
        <v>0</v>
      </c>
      <c r="H64" s="3"/>
      <c r="I64" s="3"/>
      <c r="J64" s="3"/>
      <c r="K64" s="3"/>
      <c r="L64" s="3"/>
      <c r="M64" s="3"/>
      <c r="N64" s="3"/>
      <c r="O64" s="3"/>
      <c r="P64" s="3"/>
      <c r="Q64" s="3"/>
      <c r="R64" s="3">
        <v>-5.9839285714285708</v>
      </c>
      <c r="S64">
        <v>0.11354785714285716</v>
      </c>
    </row>
    <row r="65" spans="1:19" x14ac:dyDescent="0.3">
      <c r="A65">
        <v>39</v>
      </c>
      <c r="B65">
        <v>-12.8</v>
      </c>
      <c r="C65">
        <v>-17.2</v>
      </c>
      <c r="D65">
        <v>2.2999999999999998</v>
      </c>
      <c r="E65" s="3">
        <v>0</v>
      </c>
      <c r="F65" s="3">
        <v>0</v>
      </c>
      <c r="G65" s="3">
        <v>0</v>
      </c>
      <c r="H65" s="3"/>
      <c r="I65" s="3"/>
      <c r="J65" s="3"/>
      <c r="K65" s="3"/>
      <c r="L65" s="3"/>
      <c r="M65" s="3"/>
      <c r="N65" s="3"/>
      <c r="O65" s="3"/>
      <c r="P65" s="3"/>
      <c r="Q65" s="3"/>
      <c r="R65" s="3">
        <v>-5.9839285714285708</v>
      </c>
      <c r="S65">
        <v>0.11354785714285716</v>
      </c>
    </row>
    <row r="66" spans="1:19" x14ac:dyDescent="0.3">
      <c r="A66">
        <v>40</v>
      </c>
      <c r="B66">
        <v>-15</v>
      </c>
      <c r="C66">
        <v>-22.2</v>
      </c>
      <c r="D66">
        <v>0.5</v>
      </c>
      <c r="E66" s="3">
        <v>0</v>
      </c>
      <c r="F66" s="3">
        <v>0</v>
      </c>
      <c r="G66" s="3">
        <v>0</v>
      </c>
      <c r="H66" s="3"/>
      <c r="I66" s="3"/>
      <c r="J66" s="3"/>
      <c r="K66" s="3"/>
      <c r="L66" s="3"/>
      <c r="M66" s="3"/>
      <c r="N66" s="3"/>
      <c r="O66" s="3"/>
      <c r="P66" s="3"/>
      <c r="Q66" s="3"/>
      <c r="R66" s="3">
        <v>-5.9839285714285708</v>
      </c>
      <c r="S66">
        <v>0.11354785714285716</v>
      </c>
    </row>
    <row r="67" spans="1:19" x14ac:dyDescent="0.3">
      <c r="A67">
        <v>41</v>
      </c>
      <c r="B67">
        <v>-3.9</v>
      </c>
      <c r="C67">
        <v>-21.7</v>
      </c>
      <c r="D67">
        <v>0</v>
      </c>
      <c r="E67" s="3">
        <v>0</v>
      </c>
      <c r="F67" s="3">
        <v>0</v>
      </c>
      <c r="G67" s="3">
        <v>0</v>
      </c>
      <c r="H67" s="3"/>
      <c r="I67" s="3"/>
      <c r="J67" s="3"/>
      <c r="K67" s="3"/>
      <c r="L67" s="3"/>
      <c r="M67" s="3"/>
      <c r="N67" s="3"/>
      <c r="O67" s="3"/>
      <c r="P67" s="3"/>
      <c r="Q67" s="3"/>
      <c r="R67" s="3">
        <v>-5.9839285714285708</v>
      </c>
      <c r="S67">
        <v>0.11354785714285716</v>
      </c>
    </row>
    <row r="68" spans="1:19" x14ac:dyDescent="0.3">
      <c r="A68">
        <v>42</v>
      </c>
      <c r="B68">
        <v>-2.2000000000000002</v>
      </c>
      <c r="C68">
        <v>-16.100000000000001</v>
      </c>
      <c r="D68">
        <v>0</v>
      </c>
      <c r="E68" s="3">
        <v>0</v>
      </c>
      <c r="F68" s="3">
        <v>0</v>
      </c>
      <c r="G68" s="3">
        <v>0</v>
      </c>
      <c r="H68" s="3"/>
      <c r="I68" s="3"/>
      <c r="J68" s="3"/>
      <c r="K68" s="3"/>
      <c r="L68" s="3"/>
      <c r="M68" s="3"/>
      <c r="N68" s="3"/>
      <c r="O68" s="3"/>
      <c r="P68" s="3"/>
      <c r="Q68" s="3"/>
      <c r="R68" s="3">
        <v>-5.9839285714285708</v>
      </c>
      <c r="S68">
        <v>0.11354785714285716</v>
      </c>
    </row>
    <row r="69" spans="1:19" x14ac:dyDescent="0.3">
      <c r="A69">
        <v>43</v>
      </c>
      <c r="B69">
        <v>-3.3</v>
      </c>
      <c r="C69">
        <v>-8.3000000000000007</v>
      </c>
      <c r="D69">
        <v>3.3</v>
      </c>
      <c r="E69" s="3">
        <v>0</v>
      </c>
      <c r="F69" s="3">
        <v>0</v>
      </c>
      <c r="G69" s="3">
        <v>0</v>
      </c>
      <c r="H69" s="3"/>
      <c r="I69" s="3"/>
      <c r="J69" s="3"/>
      <c r="K69" s="3"/>
      <c r="L69" s="3"/>
      <c r="M69" s="3"/>
      <c r="N69" s="3"/>
      <c r="O69" s="3"/>
      <c r="P69" s="3"/>
      <c r="Q69" s="3"/>
      <c r="R69" s="3">
        <v>-5.9839285714285708</v>
      </c>
      <c r="S69">
        <v>0.11354785714285716</v>
      </c>
    </row>
    <row r="70" spans="1:19" x14ac:dyDescent="0.3">
      <c r="A70">
        <v>44</v>
      </c>
      <c r="B70">
        <v>5</v>
      </c>
      <c r="C70">
        <v>-13.3</v>
      </c>
      <c r="D70">
        <v>0</v>
      </c>
      <c r="E70" s="3">
        <v>0</v>
      </c>
      <c r="F70" s="3">
        <v>0</v>
      </c>
      <c r="G70" s="3">
        <v>0</v>
      </c>
      <c r="H70" s="3"/>
      <c r="I70" s="3"/>
      <c r="J70" s="3"/>
      <c r="K70" s="3"/>
      <c r="L70" s="3"/>
      <c r="M70" s="3"/>
      <c r="N70" s="3"/>
      <c r="O70" s="3"/>
      <c r="P70" s="3"/>
      <c r="Q70" s="3"/>
      <c r="R70" s="3">
        <v>-5.9839285714285708</v>
      </c>
      <c r="S70">
        <v>0.11354785714285716</v>
      </c>
    </row>
    <row r="71" spans="1:19" x14ac:dyDescent="0.3">
      <c r="A71">
        <v>45</v>
      </c>
      <c r="B71">
        <v>8.9</v>
      </c>
      <c r="C71">
        <v>-1.1000000000000001</v>
      </c>
      <c r="D71">
        <v>0</v>
      </c>
      <c r="E71" s="3">
        <v>0</v>
      </c>
      <c r="F71" s="3">
        <v>0</v>
      </c>
      <c r="G71" s="3">
        <v>0</v>
      </c>
      <c r="H71" s="3"/>
      <c r="I71" s="3"/>
      <c r="J71" s="3"/>
      <c r="K71" s="3"/>
      <c r="L71" s="3"/>
      <c r="M71" s="3"/>
      <c r="N71" s="3"/>
      <c r="O71" s="3"/>
      <c r="P71" s="3"/>
      <c r="Q71" s="3"/>
      <c r="R71" s="3">
        <v>-5.9839285714285708</v>
      </c>
      <c r="S71">
        <v>0.11354785714285716</v>
      </c>
    </row>
    <row r="72" spans="1:19" x14ac:dyDescent="0.3">
      <c r="A72">
        <v>46</v>
      </c>
      <c r="B72">
        <v>2.8</v>
      </c>
      <c r="C72">
        <v>-2.8</v>
      </c>
      <c r="D72">
        <v>0</v>
      </c>
      <c r="E72" s="3">
        <v>0</v>
      </c>
      <c r="F72" s="3">
        <v>0</v>
      </c>
      <c r="G72" s="3">
        <v>0</v>
      </c>
      <c r="H72" s="3"/>
      <c r="I72" s="3"/>
      <c r="J72" s="3"/>
      <c r="K72" s="3"/>
      <c r="L72" s="3"/>
      <c r="M72" s="3"/>
      <c r="N72" s="3"/>
      <c r="O72" s="3"/>
      <c r="P72" s="3"/>
      <c r="Q72" s="3"/>
      <c r="R72" s="3">
        <v>-5.9839285714285708</v>
      </c>
      <c r="S72">
        <v>0.11354785714285716</v>
      </c>
    </row>
    <row r="73" spans="1:19" x14ac:dyDescent="0.3">
      <c r="A73">
        <v>47</v>
      </c>
      <c r="B73">
        <v>12.8</v>
      </c>
      <c r="C73">
        <v>-3.9</v>
      </c>
      <c r="D73">
        <v>0</v>
      </c>
      <c r="E73" s="3">
        <v>0</v>
      </c>
      <c r="F73" s="3">
        <v>0</v>
      </c>
      <c r="G73" s="3">
        <v>0</v>
      </c>
      <c r="H73" s="3"/>
      <c r="I73" s="3"/>
      <c r="J73" s="3"/>
      <c r="K73" s="3"/>
      <c r="L73" s="3"/>
      <c r="M73" s="3"/>
      <c r="N73" s="3"/>
      <c r="O73" s="3"/>
      <c r="P73" s="3"/>
      <c r="Q73" s="3"/>
      <c r="R73" s="3">
        <v>-5.9839285714285708</v>
      </c>
      <c r="S73">
        <v>0.11354785714285716</v>
      </c>
    </row>
    <row r="74" spans="1:19" x14ac:dyDescent="0.3">
      <c r="A74">
        <v>48</v>
      </c>
      <c r="B74">
        <v>11.7</v>
      </c>
      <c r="C74">
        <v>-0.6</v>
      </c>
      <c r="D74">
        <v>0</v>
      </c>
      <c r="E74" s="3">
        <v>0</v>
      </c>
      <c r="F74" s="3">
        <v>0</v>
      </c>
      <c r="G74" s="3">
        <v>0</v>
      </c>
      <c r="H74" s="3"/>
      <c r="I74" s="3"/>
      <c r="J74" s="3"/>
      <c r="K74" s="3"/>
      <c r="L74" s="3"/>
      <c r="M74" s="3"/>
      <c r="N74" s="3"/>
      <c r="O74" s="3"/>
      <c r="P74" s="3"/>
      <c r="Q74" s="3"/>
      <c r="R74" s="3">
        <v>-5.9839285714285708</v>
      </c>
      <c r="S74">
        <v>0.11354785714285716</v>
      </c>
    </row>
    <row r="75" spans="1:19" x14ac:dyDescent="0.3">
      <c r="A75">
        <v>49</v>
      </c>
      <c r="B75">
        <v>16.100000000000001</v>
      </c>
      <c r="C75">
        <v>5</v>
      </c>
      <c r="D75">
        <v>0</v>
      </c>
      <c r="E75" s="3">
        <v>0</v>
      </c>
      <c r="F75" s="3">
        <v>0</v>
      </c>
      <c r="G75" s="3">
        <v>0</v>
      </c>
      <c r="H75" s="3"/>
      <c r="I75" s="3"/>
      <c r="J75" s="3"/>
      <c r="K75" s="3"/>
      <c r="L75" s="3"/>
      <c r="M75" s="3"/>
      <c r="N75" s="3"/>
      <c r="O75" s="3"/>
      <c r="P75" s="3"/>
      <c r="Q75" s="3"/>
      <c r="R75" s="3">
        <v>-5.9839285714285708</v>
      </c>
      <c r="S75">
        <v>0.11354785714285716</v>
      </c>
    </row>
    <row r="76" spans="1:19" x14ac:dyDescent="0.3">
      <c r="A76">
        <v>50</v>
      </c>
      <c r="B76">
        <v>16.100000000000001</v>
      </c>
      <c r="C76">
        <v>0</v>
      </c>
      <c r="D76">
        <v>4.8</v>
      </c>
      <c r="E76" s="3">
        <v>0</v>
      </c>
      <c r="F76" s="3">
        <v>0</v>
      </c>
      <c r="G76" s="3">
        <v>0</v>
      </c>
      <c r="H76" s="3"/>
      <c r="I76" s="3"/>
      <c r="J76" s="3"/>
      <c r="K76" s="3"/>
      <c r="L76" s="3"/>
      <c r="M76" s="3"/>
      <c r="N76" s="3"/>
      <c r="O76" s="3"/>
      <c r="P76" s="3"/>
      <c r="Q76" s="3"/>
      <c r="R76" s="3">
        <v>-5.9839285714285708</v>
      </c>
      <c r="S76">
        <v>0.11354785714285716</v>
      </c>
    </row>
    <row r="77" spans="1:19" x14ac:dyDescent="0.3">
      <c r="A77">
        <v>51</v>
      </c>
      <c r="B77">
        <v>1.1000000000000001</v>
      </c>
      <c r="C77">
        <v>-5</v>
      </c>
      <c r="D77">
        <v>0</v>
      </c>
      <c r="E77" s="3">
        <v>0</v>
      </c>
      <c r="F77" s="3">
        <v>0</v>
      </c>
      <c r="G77" s="3">
        <v>0</v>
      </c>
      <c r="H77" s="3"/>
      <c r="I77" s="3"/>
      <c r="J77" s="3"/>
      <c r="K77" s="3"/>
      <c r="L77" s="3"/>
      <c r="M77" s="3"/>
      <c r="N77" s="3"/>
      <c r="O77" s="3"/>
      <c r="P77" s="3"/>
      <c r="Q77" s="3"/>
      <c r="R77" s="3">
        <v>-5.9839285714285708</v>
      </c>
      <c r="S77">
        <v>0.11354785714285716</v>
      </c>
    </row>
    <row r="78" spans="1:19" x14ac:dyDescent="0.3">
      <c r="A78">
        <v>52</v>
      </c>
      <c r="B78">
        <v>2.2000000000000002</v>
      </c>
      <c r="C78">
        <v>-4.4000000000000004</v>
      </c>
      <c r="D78">
        <v>0</v>
      </c>
      <c r="E78" s="3">
        <v>0</v>
      </c>
      <c r="F78" s="3">
        <v>0</v>
      </c>
      <c r="G78" s="3">
        <v>0</v>
      </c>
      <c r="H78" s="3"/>
      <c r="I78" s="3"/>
      <c r="J78" s="3"/>
      <c r="K78" s="3"/>
      <c r="L78" s="3"/>
      <c r="M78" s="3"/>
      <c r="N78" s="3"/>
      <c r="O78" s="3"/>
      <c r="P78" s="3"/>
      <c r="Q78" s="3"/>
      <c r="R78" s="3">
        <v>-5.9839285714285708</v>
      </c>
      <c r="S78">
        <v>0.11354785714285716</v>
      </c>
    </row>
    <row r="79" spans="1:19" x14ac:dyDescent="0.3">
      <c r="A79">
        <v>53</v>
      </c>
      <c r="B79">
        <v>-1.1000000000000001</v>
      </c>
      <c r="C79">
        <v>-7.8</v>
      </c>
      <c r="D79">
        <v>23.9</v>
      </c>
      <c r="E79" s="3">
        <v>0</v>
      </c>
      <c r="F79" s="3">
        <v>0</v>
      </c>
      <c r="G79" s="3">
        <v>0</v>
      </c>
      <c r="H79" s="3"/>
      <c r="I79" s="3"/>
      <c r="J79" s="3"/>
      <c r="K79" s="3"/>
      <c r="L79" s="3"/>
      <c r="M79" s="3"/>
      <c r="N79" s="3"/>
      <c r="O79" s="3"/>
      <c r="P79" s="3"/>
      <c r="Q79" s="3"/>
      <c r="R79" s="3">
        <v>-5.9839285714285708</v>
      </c>
      <c r="S79">
        <v>0.11354785714285716</v>
      </c>
    </row>
    <row r="80" spans="1:19" x14ac:dyDescent="0.3">
      <c r="A80">
        <v>54</v>
      </c>
      <c r="B80">
        <v>-7.2</v>
      </c>
      <c r="C80">
        <v>-14.4</v>
      </c>
      <c r="D80">
        <v>2.2999999999999998</v>
      </c>
      <c r="E80" s="3">
        <v>0</v>
      </c>
      <c r="F80" s="3">
        <v>0</v>
      </c>
      <c r="G80" s="3">
        <v>0</v>
      </c>
      <c r="H80" s="3"/>
      <c r="I80" s="3"/>
      <c r="J80" s="3"/>
      <c r="K80" s="3"/>
      <c r="L80" s="3"/>
      <c r="M80" s="3"/>
      <c r="N80" s="3"/>
      <c r="O80" s="3"/>
      <c r="P80" s="3"/>
      <c r="Q80" s="3"/>
      <c r="R80" s="3">
        <v>-5.9839285714285708</v>
      </c>
      <c r="S80">
        <v>0.11354785714285716</v>
      </c>
    </row>
    <row r="81" spans="1:19" x14ac:dyDescent="0.3">
      <c r="A81">
        <v>55</v>
      </c>
      <c r="B81">
        <v>-6.7</v>
      </c>
      <c r="C81">
        <v>-17.2</v>
      </c>
      <c r="D81">
        <v>0</v>
      </c>
      <c r="E81" s="3">
        <v>0</v>
      </c>
      <c r="F81" s="3">
        <v>0</v>
      </c>
      <c r="G81" s="3">
        <v>0</v>
      </c>
      <c r="H81" s="3"/>
      <c r="I81" s="3"/>
      <c r="J81" s="3"/>
      <c r="K81" s="3"/>
      <c r="L81" s="3"/>
      <c r="M81" s="3"/>
      <c r="N81" s="3"/>
      <c r="O81" s="3"/>
      <c r="P81" s="3"/>
      <c r="Q81" s="3"/>
      <c r="R81" s="3">
        <v>-5.9839285714285708</v>
      </c>
      <c r="S81">
        <v>0.11354785714285716</v>
      </c>
    </row>
    <row r="82" spans="1:19" x14ac:dyDescent="0.3">
      <c r="A82">
        <v>56</v>
      </c>
      <c r="B82">
        <v>-7.2</v>
      </c>
      <c r="C82">
        <v>-16.100000000000001</v>
      </c>
      <c r="D82">
        <v>6.1</v>
      </c>
      <c r="E82" s="3">
        <v>0</v>
      </c>
      <c r="F82" s="3">
        <v>0</v>
      </c>
      <c r="G82" s="3">
        <v>0</v>
      </c>
      <c r="H82" s="3"/>
      <c r="I82" s="3"/>
      <c r="J82" s="3"/>
      <c r="K82" s="3"/>
      <c r="L82" s="3"/>
      <c r="M82" s="3"/>
      <c r="N82" s="3"/>
      <c r="O82" s="3"/>
      <c r="P82" s="3"/>
      <c r="Q82" s="3"/>
      <c r="R82" s="3">
        <v>-5.9839285714285708</v>
      </c>
      <c r="S82">
        <v>0.11354785714285716</v>
      </c>
    </row>
    <row r="83" spans="1:19" x14ac:dyDescent="0.3">
      <c r="A83">
        <v>57</v>
      </c>
      <c r="B83">
        <v>-4.4000000000000004</v>
      </c>
      <c r="C83">
        <v>-17.2</v>
      </c>
      <c r="D83">
        <v>0</v>
      </c>
      <c r="E83" s="3">
        <v>0</v>
      </c>
      <c r="F83" s="3">
        <v>0</v>
      </c>
      <c r="G83" s="3">
        <v>0</v>
      </c>
      <c r="H83" s="3"/>
      <c r="I83" s="3"/>
      <c r="J83" s="3"/>
      <c r="K83" s="3"/>
      <c r="L83" s="3"/>
      <c r="M83" s="3"/>
      <c r="N83" s="3"/>
      <c r="O83" s="3"/>
      <c r="P83" s="3"/>
      <c r="Q83" s="3"/>
      <c r="R83" s="3">
        <v>-5.9839285714285708</v>
      </c>
      <c r="S83">
        <v>0.11354785714285716</v>
      </c>
    </row>
    <row r="84" spans="1:19" x14ac:dyDescent="0.3">
      <c r="A84">
        <v>58</v>
      </c>
      <c r="B84">
        <v>-3.3</v>
      </c>
      <c r="C84">
        <v>-13.9</v>
      </c>
      <c r="D84">
        <v>0.3</v>
      </c>
      <c r="E84" s="3">
        <v>0</v>
      </c>
      <c r="F84" s="3">
        <v>0</v>
      </c>
      <c r="G84" s="3">
        <v>0</v>
      </c>
      <c r="H84" s="3"/>
      <c r="I84" s="3"/>
      <c r="J84" s="3"/>
      <c r="K84" s="3"/>
      <c r="L84" s="3"/>
      <c r="M84" s="3"/>
      <c r="N84" s="3"/>
      <c r="O84" s="3"/>
      <c r="P84" s="3"/>
      <c r="Q84" s="3"/>
      <c r="R84" s="3">
        <v>-5.9839285714285708</v>
      </c>
      <c r="S84">
        <v>0.11354785714285716</v>
      </c>
    </row>
    <row r="85" spans="1:19" x14ac:dyDescent="0.3">
      <c r="A85">
        <v>59</v>
      </c>
      <c r="B85">
        <v>0.6</v>
      </c>
      <c r="C85">
        <v>-6.7</v>
      </c>
      <c r="D85">
        <v>0</v>
      </c>
      <c r="E85" s="3">
        <v>0</v>
      </c>
      <c r="F85" s="3">
        <v>0</v>
      </c>
      <c r="G85" s="3">
        <v>0</v>
      </c>
      <c r="H85" s="3"/>
      <c r="I85" s="3"/>
      <c r="J85" s="3"/>
      <c r="K85" s="3"/>
      <c r="L85" s="3"/>
      <c r="M85" s="3"/>
      <c r="N85" s="3"/>
      <c r="O85" s="3"/>
      <c r="P85" s="3"/>
      <c r="Q85" s="3"/>
      <c r="R85" s="3">
        <v>-5.9839285714285708</v>
      </c>
      <c r="S85">
        <v>0.11354785714285716</v>
      </c>
    </row>
    <row r="86" spans="1:19" x14ac:dyDescent="0.3">
      <c r="A86">
        <v>60</v>
      </c>
      <c r="B86">
        <v>2.8</v>
      </c>
      <c r="C86">
        <v>-6.7</v>
      </c>
      <c r="D86">
        <v>0</v>
      </c>
      <c r="E86" s="3">
        <v>0</v>
      </c>
      <c r="F86" s="3">
        <v>0</v>
      </c>
      <c r="G86" s="3">
        <v>0</v>
      </c>
      <c r="H86" s="3"/>
      <c r="I86" s="3"/>
      <c r="J86" s="3"/>
      <c r="K86" s="3"/>
      <c r="L86" s="3"/>
      <c r="M86" s="3"/>
      <c r="N86" s="3"/>
      <c r="O86" s="3"/>
      <c r="P86" s="3"/>
      <c r="Q86" s="3"/>
      <c r="R86" s="3">
        <v>4.7354838709677418</v>
      </c>
      <c r="S86">
        <v>0.22913976774193551</v>
      </c>
    </row>
    <row r="87" spans="1:19" x14ac:dyDescent="0.3">
      <c r="A87">
        <v>61</v>
      </c>
      <c r="B87">
        <v>4.4000000000000004</v>
      </c>
      <c r="C87">
        <v>-7.8</v>
      </c>
      <c r="D87">
        <v>0</v>
      </c>
      <c r="E87" s="3">
        <v>0</v>
      </c>
      <c r="F87" s="3">
        <v>0</v>
      </c>
      <c r="G87" s="3">
        <v>0</v>
      </c>
      <c r="H87" s="3"/>
      <c r="I87" s="3"/>
      <c r="J87" s="3"/>
      <c r="K87" s="3"/>
      <c r="L87" s="3"/>
      <c r="M87" s="3"/>
      <c r="N87" s="3"/>
      <c r="O87" s="3"/>
      <c r="P87" s="3"/>
      <c r="Q87" s="3"/>
      <c r="R87" s="3">
        <v>4.7354838709677418</v>
      </c>
      <c r="S87">
        <v>0.22913976774193551</v>
      </c>
    </row>
    <row r="88" spans="1:19" x14ac:dyDescent="0.3">
      <c r="A88">
        <v>62</v>
      </c>
      <c r="B88">
        <v>15.6</v>
      </c>
      <c r="C88">
        <v>-1.7</v>
      </c>
      <c r="D88">
        <v>0</v>
      </c>
      <c r="E88" s="3">
        <v>0</v>
      </c>
      <c r="F88" s="3">
        <v>0</v>
      </c>
      <c r="G88" s="3">
        <v>0</v>
      </c>
      <c r="H88" s="3"/>
      <c r="I88" s="3"/>
      <c r="J88" s="3"/>
      <c r="K88" s="3"/>
      <c r="L88" s="3"/>
      <c r="M88" s="3"/>
      <c r="N88" s="3"/>
      <c r="O88" s="3"/>
      <c r="P88" s="3"/>
      <c r="Q88" s="3"/>
      <c r="R88" s="3">
        <v>4.7354838709677418</v>
      </c>
      <c r="S88">
        <v>0.22913976774193551</v>
      </c>
    </row>
    <row r="89" spans="1:19" x14ac:dyDescent="0.3">
      <c r="A89">
        <v>63</v>
      </c>
      <c r="B89">
        <v>13.3</v>
      </c>
      <c r="C89">
        <v>2.2000000000000002</v>
      </c>
      <c r="D89">
        <v>0</v>
      </c>
      <c r="E89" s="3">
        <v>0</v>
      </c>
      <c r="F89" s="3">
        <v>0</v>
      </c>
      <c r="G89" s="3">
        <v>0</v>
      </c>
      <c r="H89" s="3"/>
      <c r="I89" s="3"/>
      <c r="J89" s="3"/>
      <c r="K89" s="3"/>
      <c r="L89" s="3"/>
      <c r="M89" s="3"/>
      <c r="N89" s="3"/>
      <c r="O89" s="3"/>
      <c r="P89" s="3"/>
      <c r="Q89" s="3"/>
      <c r="R89" s="3">
        <v>4.7354838709677418</v>
      </c>
      <c r="S89">
        <v>0.22913976774193551</v>
      </c>
    </row>
    <row r="90" spans="1:19" x14ac:dyDescent="0.3">
      <c r="A90">
        <v>64</v>
      </c>
      <c r="B90">
        <v>18.899999999999999</v>
      </c>
      <c r="C90">
        <v>0</v>
      </c>
      <c r="D90">
        <v>0</v>
      </c>
      <c r="E90" s="3">
        <v>0</v>
      </c>
      <c r="F90" s="3">
        <v>0</v>
      </c>
      <c r="G90" s="3">
        <v>0</v>
      </c>
      <c r="H90" s="3"/>
      <c r="I90" s="3"/>
      <c r="J90" s="3"/>
      <c r="K90" s="3"/>
      <c r="L90" s="3"/>
      <c r="M90" s="3"/>
      <c r="N90" s="3"/>
      <c r="O90" s="3"/>
      <c r="P90" s="3"/>
      <c r="Q90" s="3"/>
      <c r="R90" s="3">
        <v>4.7354838709677418</v>
      </c>
      <c r="S90">
        <v>0.22913976774193551</v>
      </c>
    </row>
    <row r="91" spans="1:19" x14ac:dyDescent="0.3">
      <c r="A91">
        <v>65</v>
      </c>
      <c r="B91">
        <v>8.9</v>
      </c>
      <c r="C91">
        <v>0</v>
      </c>
      <c r="D91">
        <v>0</v>
      </c>
      <c r="E91" s="3">
        <v>0</v>
      </c>
      <c r="F91" s="3">
        <v>0</v>
      </c>
      <c r="G91" s="3">
        <v>0</v>
      </c>
      <c r="H91" s="3"/>
      <c r="I91" s="3"/>
      <c r="J91" s="3"/>
      <c r="K91" s="3"/>
      <c r="L91" s="3"/>
      <c r="M91" s="3"/>
      <c r="N91" s="3"/>
      <c r="O91" s="3"/>
      <c r="P91" s="3"/>
      <c r="Q91" s="3"/>
      <c r="R91" s="3">
        <v>4.7354838709677418</v>
      </c>
      <c r="S91">
        <v>0.22913976774193551</v>
      </c>
    </row>
    <row r="92" spans="1:19" x14ac:dyDescent="0.3">
      <c r="A92">
        <v>66</v>
      </c>
      <c r="B92">
        <v>7.2</v>
      </c>
      <c r="C92">
        <v>-3.3</v>
      </c>
      <c r="D92">
        <v>0</v>
      </c>
      <c r="E92" s="3">
        <v>0</v>
      </c>
      <c r="F92" s="3">
        <v>0</v>
      </c>
      <c r="G92" s="3">
        <v>0</v>
      </c>
      <c r="H92" s="3"/>
      <c r="I92" s="3"/>
      <c r="J92" s="3"/>
      <c r="K92" s="3"/>
      <c r="L92" s="3"/>
      <c r="M92" s="3"/>
      <c r="N92" s="3"/>
      <c r="O92" s="3"/>
      <c r="P92" s="3"/>
      <c r="Q92" s="3"/>
      <c r="R92" s="3">
        <v>4.7354838709677418</v>
      </c>
      <c r="S92">
        <v>0.22913976774193551</v>
      </c>
    </row>
    <row r="93" spans="1:19" x14ac:dyDescent="0.3">
      <c r="A93">
        <v>67</v>
      </c>
      <c r="B93">
        <v>1.7</v>
      </c>
      <c r="C93">
        <v>-4.4000000000000004</v>
      </c>
      <c r="D93">
        <v>0</v>
      </c>
      <c r="E93" s="3">
        <v>0</v>
      </c>
      <c r="F93" s="3">
        <v>0</v>
      </c>
      <c r="G93" s="3">
        <v>0</v>
      </c>
      <c r="H93" s="3"/>
      <c r="I93" s="3"/>
      <c r="J93" s="3"/>
      <c r="K93" s="3"/>
      <c r="L93" s="3"/>
      <c r="M93" s="3"/>
      <c r="N93" s="3"/>
      <c r="O93" s="3"/>
      <c r="P93" s="3"/>
      <c r="Q93" s="3"/>
      <c r="R93" s="3">
        <v>4.7354838709677418</v>
      </c>
      <c r="S93">
        <v>0.22913976774193551</v>
      </c>
    </row>
    <row r="94" spans="1:19" x14ac:dyDescent="0.3">
      <c r="A94">
        <v>68</v>
      </c>
      <c r="B94">
        <v>3.3</v>
      </c>
      <c r="C94">
        <v>-7.2</v>
      </c>
      <c r="D94">
        <v>0</v>
      </c>
      <c r="E94" s="3">
        <v>0</v>
      </c>
      <c r="F94" s="3">
        <v>0</v>
      </c>
      <c r="G94" s="3">
        <v>0</v>
      </c>
      <c r="H94" s="3"/>
      <c r="I94" s="3"/>
      <c r="J94" s="3"/>
      <c r="K94" s="3"/>
      <c r="L94" s="3"/>
      <c r="M94" s="3"/>
      <c r="N94" s="3"/>
      <c r="O94" s="3"/>
      <c r="P94" s="3"/>
      <c r="Q94" s="3"/>
      <c r="R94" s="3">
        <v>4.7354838709677418</v>
      </c>
      <c r="S94">
        <v>0.22913976774193551</v>
      </c>
    </row>
    <row r="95" spans="1:19" x14ac:dyDescent="0.3">
      <c r="A95">
        <v>69</v>
      </c>
      <c r="B95">
        <v>3.9</v>
      </c>
      <c r="C95">
        <v>-5.6</v>
      </c>
      <c r="D95">
        <v>0</v>
      </c>
      <c r="E95" s="3">
        <v>0</v>
      </c>
      <c r="F95" s="3">
        <v>0</v>
      </c>
      <c r="G95" s="3">
        <v>0</v>
      </c>
      <c r="H95" s="3"/>
      <c r="I95" s="3"/>
      <c r="J95" s="3"/>
      <c r="K95" s="3"/>
      <c r="L95" s="3"/>
      <c r="M95" s="3"/>
      <c r="N95" s="3"/>
      <c r="O95" s="3"/>
      <c r="P95" s="3"/>
      <c r="Q95" s="3"/>
      <c r="R95" s="3">
        <v>4.7354838709677418</v>
      </c>
      <c r="S95">
        <v>0.22913976774193551</v>
      </c>
    </row>
    <row r="96" spans="1:19" x14ac:dyDescent="0.3">
      <c r="A96">
        <v>70</v>
      </c>
      <c r="B96">
        <v>9.4</v>
      </c>
      <c r="C96">
        <v>-7.2</v>
      </c>
      <c r="D96">
        <v>0</v>
      </c>
      <c r="E96" s="3">
        <v>0</v>
      </c>
      <c r="F96" s="3">
        <v>0</v>
      </c>
      <c r="G96" s="3">
        <v>0</v>
      </c>
      <c r="H96" s="3"/>
      <c r="I96" s="3"/>
      <c r="J96" s="3"/>
      <c r="K96" s="3"/>
      <c r="L96" s="3"/>
      <c r="M96" s="3"/>
      <c r="N96" s="3"/>
      <c r="O96" s="3"/>
      <c r="P96" s="3"/>
      <c r="Q96" s="3"/>
      <c r="R96" s="3">
        <v>4.7354838709677418</v>
      </c>
      <c r="S96">
        <v>0.22913976774193551</v>
      </c>
    </row>
    <row r="97" spans="1:19" x14ac:dyDescent="0.3">
      <c r="A97">
        <v>71</v>
      </c>
      <c r="B97">
        <v>10.6</v>
      </c>
      <c r="C97">
        <v>-0.6</v>
      </c>
      <c r="D97">
        <v>0</v>
      </c>
      <c r="E97" s="3">
        <v>0</v>
      </c>
      <c r="F97" s="3">
        <v>0</v>
      </c>
      <c r="G97" s="3">
        <v>0</v>
      </c>
      <c r="H97" s="3"/>
      <c r="I97" s="3"/>
      <c r="J97" s="3"/>
      <c r="K97" s="3"/>
      <c r="L97" s="3"/>
      <c r="M97" s="3"/>
      <c r="N97" s="3"/>
      <c r="O97" s="3"/>
      <c r="P97" s="3"/>
      <c r="Q97" s="3"/>
      <c r="R97" s="3">
        <v>4.7354838709677418</v>
      </c>
      <c r="S97">
        <v>0.22913976774193551</v>
      </c>
    </row>
    <row r="98" spans="1:19" x14ac:dyDescent="0.3">
      <c r="A98">
        <v>72</v>
      </c>
      <c r="B98">
        <v>11.7</v>
      </c>
      <c r="C98">
        <v>-3.9</v>
      </c>
      <c r="D98">
        <v>0</v>
      </c>
      <c r="E98" s="3">
        <v>0</v>
      </c>
      <c r="F98" s="3">
        <v>0</v>
      </c>
      <c r="G98" s="3">
        <v>0</v>
      </c>
      <c r="H98" s="3"/>
      <c r="I98" s="3"/>
      <c r="J98" s="3"/>
      <c r="K98" s="3"/>
      <c r="L98" s="3"/>
      <c r="M98" s="3"/>
      <c r="N98" s="3"/>
      <c r="O98" s="3"/>
      <c r="P98" s="3"/>
      <c r="Q98" s="3"/>
      <c r="R98" s="3">
        <v>4.7354838709677418</v>
      </c>
      <c r="S98">
        <v>0.22913976774193551</v>
      </c>
    </row>
    <row r="99" spans="1:19" x14ac:dyDescent="0.3">
      <c r="A99">
        <v>73</v>
      </c>
      <c r="B99">
        <v>19.399999999999999</v>
      </c>
      <c r="C99">
        <v>-0.6</v>
      </c>
      <c r="D99">
        <v>0</v>
      </c>
      <c r="E99" s="3">
        <v>0</v>
      </c>
      <c r="F99" s="3">
        <v>0</v>
      </c>
      <c r="G99" s="3">
        <v>0</v>
      </c>
      <c r="H99" s="3"/>
      <c r="I99" s="3"/>
      <c r="J99" s="3"/>
      <c r="K99" s="3"/>
      <c r="L99" s="3"/>
      <c r="M99" s="3"/>
      <c r="N99" s="3"/>
      <c r="O99" s="3"/>
      <c r="P99" s="3"/>
      <c r="Q99" s="3"/>
      <c r="R99" s="3">
        <v>4.7354838709677418</v>
      </c>
      <c r="S99">
        <v>0.22913976774193551</v>
      </c>
    </row>
    <row r="100" spans="1:19" x14ac:dyDescent="0.3">
      <c r="A100">
        <v>74</v>
      </c>
      <c r="B100">
        <v>8.9</v>
      </c>
      <c r="C100">
        <v>0</v>
      </c>
      <c r="D100">
        <v>0</v>
      </c>
      <c r="E100" s="3">
        <v>0</v>
      </c>
      <c r="F100" s="3">
        <v>0</v>
      </c>
      <c r="G100" s="3">
        <v>0</v>
      </c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>
        <v>4.7354838709677418</v>
      </c>
      <c r="S100">
        <v>0.22913976774193551</v>
      </c>
    </row>
    <row r="101" spans="1:19" x14ac:dyDescent="0.3">
      <c r="A101">
        <v>75</v>
      </c>
      <c r="B101">
        <v>8.3000000000000007</v>
      </c>
      <c r="C101">
        <v>-5</v>
      </c>
      <c r="D101">
        <v>0</v>
      </c>
      <c r="E101" s="3">
        <v>0</v>
      </c>
      <c r="F101" s="3">
        <v>0</v>
      </c>
      <c r="G101" s="3">
        <v>0</v>
      </c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>
        <v>4.7354838709677418</v>
      </c>
      <c r="S101">
        <v>0.22913976774193551</v>
      </c>
    </row>
    <row r="102" spans="1:19" x14ac:dyDescent="0.3">
      <c r="A102">
        <v>76</v>
      </c>
      <c r="B102">
        <v>17.2</v>
      </c>
      <c r="C102">
        <v>1.1000000000000001</v>
      </c>
      <c r="D102">
        <v>0</v>
      </c>
      <c r="E102" s="3">
        <v>0</v>
      </c>
      <c r="F102" s="3">
        <v>0</v>
      </c>
      <c r="G102" s="3">
        <v>0</v>
      </c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>
        <v>4.7354838709677418</v>
      </c>
      <c r="S102">
        <v>0.22913976774193551</v>
      </c>
    </row>
    <row r="103" spans="1:19" x14ac:dyDescent="0.3">
      <c r="A103">
        <v>77</v>
      </c>
      <c r="B103">
        <v>15</v>
      </c>
      <c r="C103">
        <v>1.7</v>
      </c>
      <c r="D103">
        <v>0</v>
      </c>
      <c r="E103" s="3">
        <v>0</v>
      </c>
      <c r="F103" s="3">
        <v>0</v>
      </c>
      <c r="G103" s="3">
        <v>0</v>
      </c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>
        <v>4.7354838709677418</v>
      </c>
      <c r="S103">
        <v>0.22913976774193551</v>
      </c>
    </row>
    <row r="104" spans="1:19" x14ac:dyDescent="0.3">
      <c r="A104">
        <v>78</v>
      </c>
      <c r="B104">
        <v>18.3</v>
      </c>
      <c r="C104">
        <v>2.2000000000000002</v>
      </c>
      <c r="D104">
        <v>0</v>
      </c>
      <c r="E104" s="3">
        <v>0</v>
      </c>
      <c r="F104" s="3">
        <v>0</v>
      </c>
      <c r="G104" s="3">
        <v>0</v>
      </c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>
        <v>4.7354838709677418</v>
      </c>
      <c r="S104">
        <v>0.22913976774193551</v>
      </c>
    </row>
    <row r="105" spans="1:19" x14ac:dyDescent="0.3">
      <c r="A105">
        <v>79</v>
      </c>
      <c r="B105">
        <v>20</v>
      </c>
      <c r="C105">
        <v>4.4000000000000004</v>
      </c>
      <c r="D105">
        <v>1.5</v>
      </c>
      <c r="E105" s="3">
        <v>0</v>
      </c>
      <c r="F105" s="3">
        <v>0</v>
      </c>
      <c r="G105" s="3">
        <v>0</v>
      </c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>
        <v>4.7354838709677418</v>
      </c>
      <c r="S105">
        <v>0.22913976774193551</v>
      </c>
    </row>
    <row r="106" spans="1:19" x14ac:dyDescent="0.3">
      <c r="A106">
        <v>80</v>
      </c>
      <c r="B106">
        <v>15.6</v>
      </c>
      <c r="C106">
        <v>-0.6</v>
      </c>
      <c r="D106">
        <v>0</v>
      </c>
      <c r="E106" s="3">
        <v>0</v>
      </c>
      <c r="F106" s="3">
        <v>0</v>
      </c>
      <c r="G106" s="3">
        <v>0</v>
      </c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>
        <v>4.7354838709677418</v>
      </c>
      <c r="S106">
        <v>0.22913976774193551</v>
      </c>
    </row>
    <row r="107" spans="1:19" x14ac:dyDescent="0.3">
      <c r="A107">
        <v>81</v>
      </c>
      <c r="B107">
        <v>25</v>
      </c>
      <c r="C107">
        <v>5.6</v>
      </c>
      <c r="D107">
        <v>0</v>
      </c>
      <c r="E107" s="3">
        <v>0</v>
      </c>
      <c r="F107" s="3">
        <v>0</v>
      </c>
      <c r="G107" s="3">
        <v>0</v>
      </c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>
        <v>4.7354838709677418</v>
      </c>
      <c r="S107">
        <v>0.22913976774193551</v>
      </c>
    </row>
    <row r="108" spans="1:19" x14ac:dyDescent="0.3">
      <c r="A108">
        <v>82</v>
      </c>
      <c r="B108">
        <v>27.8</v>
      </c>
      <c r="C108">
        <v>1.1000000000000001</v>
      </c>
      <c r="D108">
        <v>1.5</v>
      </c>
      <c r="E108" s="3">
        <v>0</v>
      </c>
      <c r="F108" s="3">
        <v>0</v>
      </c>
      <c r="G108" s="3">
        <v>0</v>
      </c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>
        <v>4.7354838709677418</v>
      </c>
      <c r="S108">
        <v>0.22913976774193551</v>
      </c>
    </row>
    <row r="109" spans="1:19" x14ac:dyDescent="0.3">
      <c r="A109">
        <v>83</v>
      </c>
      <c r="B109">
        <v>6.1</v>
      </c>
      <c r="C109">
        <v>-2.8</v>
      </c>
      <c r="D109">
        <v>0</v>
      </c>
      <c r="E109" s="3">
        <v>0</v>
      </c>
      <c r="F109" s="3">
        <v>0</v>
      </c>
      <c r="G109" s="3">
        <v>0</v>
      </c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>
        <v>4.7354838709677418</v>
      </c>
      <c r="S109">
        <v>0.22913976774193551</v>
      </c>
    </row>
    <row r="110" spans="1:19" x14ac:dyDescent="0.3">
      <c r="A110">
        <v>84</v>
      </c>
      <c r="B110">
        <v>7.2</v>
      </c>
      <c r="C110">
        <v>-5</v>
      </c>
      <c r="D110">
        <v>0</v>
      </c>
      <c r="E110" s="3">
        <v>0</v>
      </c>
      <c r="F110" s="3">
        <v>0</v>
      </c>
      <c r="G110" s="3">
        <v>0</v>
      </c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>
        <v>4.7354838709677418</v>
      </c>
      <c r="S110">
        <v>0.22913976774193551</v>
      </c>
    </row>
    <row r="111" spans="1:19" x14ac:dyDescent="0.3">
      <c r="A111">
        <v>85</v>
      </c>
      <c r="B111">
        <v>12.8</v>
      </c>
      <c r="C111">
        <v>2.2000000000000002</v>
      </c>
      <c r="D111">
        <v>0</v>
      </c>
      <c r="E111" s="3">
        <v>0</v>
      </c>
      <c r="F111" s="3">
        <v>0</v>
      </c>
      <c r="G111" s="3">
        <v>0</v>
      </c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>
        <v>4.7354838709677418</v>
      </c>
      <c r="S111">
        <v>0.22913976774193551</v>
      </c>
    </row>
    <row r="112" spans="1:19" x14ac:dyDescent="0.3">
      <c r="A112">
        <v>86</v>
      </c>
      <c r="B112">
        <v>8.9</v>
      </c>
      <c r="C112">
        <v>-2.8</v>
      </c>
      <c r="D112">
        <v>0</v>
      </c>
      <c r="E112" s="3">
        <v>0</v>
      </c>
      <c r="F112" s="3">
        <v>0</v>
      </c>
      <c r="G112" s="3">
        <v>0</v>
      </c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>
        <v>4.7354838709677418</v>
      </c>
      <c r="S112">
        <v>0.22913976774193551</v>
      </c>
    </row>
    <row r="113" spans="1:19" x14ac:dyDescent="0.3">
      <c r="A113">
        <v>87</v>
      </c>
      <c r="B113">
        <v>3.3</v>
      </c>
      <c r="C113">
        <v>-3.3</v>
      </c>
      <c r="D113">
        <v>1.3</v>
      </c>
      <c r="E113" s="3">
        <v>0</v>
      </c>
      <c r="F113" s="3">
        <v>0</v>
      </c>
      <c r="G113" s="3">
        <v>0</v>
      </c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>
        <v>4.7354838709677418</v>
      </c>
      <c r="S113">
        <v>0.22913976774193551</v>
      </c>
    </row>
    <row r="114" spans="1:19" x14ac:dyDescent="0.3">
      <c r="A114">
        <v>88</v>
      </c>
      <c r="B114">
        <v>6.1</v>
      </c>
      <c r="C114">
        <v>-5.6</v>
      </c>
      <c r="D114">
        <v>0</v>
      </c>
      <c r="E114" s="3">
        <v>0</v>
      </c>
      <c r="F114" s="3">
        <v>0</v>
      </c>
      <c r="G114" s="3">
        <v>0</v>
      </c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>
        <v>4.7354838709677418</v>
      </c>
      <c r="S114">
        <v>0.22913976774193551</v>
      </c>
    </row>
    <row r="115" spans="1:19" x14ac:dyDescent="0.3">
      <c r="A115">
        <v>89</v>
      </c>
      <c r="B115">
        <v>6.7</v>
      </c>
      <c r="C115">
        <v>-6.1</v>
      </c>
      <c r="D115">
        <v>0</v>
      </c>
      <c r="E115" s="3">
        <v>0</v>
      </c>
      <c r="F115" s="3">
        <v>0</v>
      </c>
      <c r="G115" s="3">
        <v>0</v>
      </c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>
        <v>4.7354838709677418</v>
      </c>
      <c r="S115">
        <v>0.22913976774193551</v>
      </c>
    </row>
    <row r="116" spans="1:19" x14ac:dyDescent="0.3">
      <c r="A116">
        <v>90</v>
      </c>
      <c r="B116">
        <v>18.899999999999999</v>
      </c>
      <c r="C116">
        <v>-3.9</v>
      </c>
      <c r="D116">
        <v>0</v>
      </c>
      <c r="E116" s="3">
        <v>0</v>
      </c>
      <c r="F116" s="3">
        <v>0</v>
      </c>
      <c r="G116" s="3">
        <v>0</v>
      </c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>
        <v>4.7354838709677418</v>
      </c>
      <c r="S116">
        <v>0.22913976774193551</v>
      </c>
    </row>
    <row r="117" spans="1:19" x14ac:dyDescent="0.3">
      <c r="A117">
        <v>91</v>
      </c>
      <c r="B117">
        <v>21.1</v>
      </c>
      <c r="C117">
        <v>0</v>
      </c>
      <c r="D117">
        <v>0</v>
      </c>
      <c r="E117" s="3">
        <v>0</v>
      </c>
      <c r="F117" s="3">
        <v>0</v>
      </c>
      <c r="G117" s="3">
        <v>0</v>
      </c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>
        <v>10.48</v>
      </c>
      <c r="S117">
        <v>0.32663221999999992</v>
      </c>
    </row>
    <row r="118" spans="1:19" x14ac:dyDescent="0.3">
      <c r="A118">
        <v>92</v>
      </c>
      <c r="B118">
        <v>10</v>
      </c>
      <c r="C118">
        <v>-1.7</v>
      </c>
      <c r="D118">
        <v>0</v>
      </c>
      <c r="E118" s="3">
        <v>0</v>
      </c>
      <c r="F118" s="3">
        <v>0</v>
      </c>
      <c r="G118" s="3">
        <v>0</v>
      </c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>
        <v>10.48</v>
      </c>
      <c r="S118">
        <v>0.32663221999999992</v>
      </c>
    </row>
    <row r="119" spans="1:19" x14ac:dyDescent="0.3">
      <c r="A119">
        <v>93</v>
      </c>
      <c r="B119">
        <v>12.8</v>
      </c>
      <c r="C119">
        <v>-5.6</v>
      </c>
      <c r="D119">
        <v>0</v>
      </c>
      <c r="E119" s="3">
        <v>0</v>
      </c>
      <c r="F119" s="3">
        <v>0</v>
      </c>
      <c r="G119" s="3">
        <v>0</v>
      </c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>
        <v>10.48</v>
      </c>
      <c r="S119">
        <v>0.32663221999999992</v>
      </c>
    </row>
    <row r="120" spans="1:19" x14ac:dyDescent="0.3">
      <c r="A120">
        <v>94</v>
      </c>
      <c r="B120">
        <v>21.1</v>
      </c>
      <c r="C120">
        <v>1.1000000000000001</v>
      </c>
      <c r="D120">
        <v>0</v>
      </c>
      <c r="E120" s="3">
        <v>0</v>
      </c>
      <c r="F120" s="3">
        <v>0</v>
      </c>
      <c r="G120" s="3">
        <v>0</v>
      </c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>
        <v>10.48</v>
      </c>
      <c r="S120">
        <v>0.32663221999999992</v>
      </c>
    </row>
    <row r="121" spans="1:19" x14ac:dyDescent="0.3">
      <c r="A121">
        <v>95</v>
      </c>
      <c r="B121">
        <v>1.7</v>
      </c>
      <c r="C121">
        <v>-2.8</v>
      </c>
      <c r="D121">
        <v>0</v>
      </c>
      <c r="E121" s="3">
        <v>0</v>
      </c>
      <c r="F121" s="3">
        <v>0</v>
      </c>
      <c r="G121" s="3">
        <v>0</v>
      </c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>
        <v>10.48</v>
      </c>
      <c r="S121">
        <v>0.32663221999999992</v>
      </c>
    </row>
    <row r="122" spans="1:19" x14ac:dyDescent="0.3">
      <c r="A122">
        <v>96</v>
      </c>
      <c r="B122">
        <v>8.3000000000000007</v>
      </c>
      <c r="C122">
        <v>-3.3</v>
      </c>
      <c r="D122">
        <v>0</v>
      </c>
      <c r="E122" s="3">
        <v>0</v>
      </c>
      <c r="F122" s="3">
        <v>0</v>
      </c>
      <c r="G122" s="3">
        <v>0</v>
      </c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>
        <v>10.48</v>
      </c>
      <c r="S122">
        <v>0.32663221999999992</v>
      </c>
    </row>
    <row r="123" spans="1:19" x14ac:dyDescent="0.3">
      <c r="A123">
        <v>97</v>
      </c>
      <c r="B123">
        <v>13.3</v>
      </c>
      <c r="C123">
        <v>-3.9</v>
      </c>
      <c r="D123">
        <v>0</v>
      </c>
      <c r="E123" s="3">
        <v>0</v>
      </c>
      <c r="F123" s="3">
        <v>0</v>
      </c>
      <c r="G123" s="3">
        <v>0</v>
      </c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>
        <v>10.48</v>
      </c>
      <c r="S123">
        <v>0.32663221999999992</v>
      </c>
    </row>
    <row r="124" spans="1:19" x14ac:dyDescent="0.3">
      <c r="A124">
        <v>98</v>
      </c>
      <c r="B124">
        <v>21.7</v>
      </c>
      <c r="C124">
        <v>5.6</v>
      </c>
      <c r="D124">
        <v>0.5</v>
      </c>
      <c r="E124" s="3">
        <v>0</v>
      </c>
      <c r="F124" s="3">
        <v>0</v>
      </c>
      <c r="G124" s="3">
        <v>0</v>
      </c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>
        <v>10.48</v>
      </c>
      <c r="S124">
        <v>0.32663221999999992</v>
      </c>
    </row>
    <row r="125" spans="1:19" x14ac:dyDescent="0.3">
      <c r="A125">
        <v>99</v>
      </c>
      <c r="B125">
        <v>16.100000000000001</v>
      </c>
      <c r="C125">
        <v>4.4000000000000004</v>
      </c>
      <c r="D125">
        <v>0</v>
      </c>
      <c r="E125" s="3">
        <v>0</v>
      </c>
      <c r="F125" s="3">
        <v>0</v>
      </c>
      <c r="G125" s="3">
        <v>0</v>
      </c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>
        <v>10.48</v>
      </c>
      <c r="S125">
        <v>0.32663221999999992</v>
      </c>
    </row>
    <row r="126" spans="1:19" x14ac:dyDescent="0.3">
      <c r="A126">
        <v>100</v>
      </c>
      <c r="B126">
        <v>16.100000000000001</v>
      </c>
      <c r="C126">
        <v>4.4000000000000004</v>
      </c>
      <c r="D126">
        <v>0</v>
      </c>
      <c r="E126" s="3">
        <v>0</v>
      </c>
      <c r="F126" s="3">
        <v>0</v>
      </c>
      <c r="G126" s="3">
        <v>0</v>
      </c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>
        <v>10.48</v>
      </c>
      <c r="S126">
        <v>0.32663221999999992</v>
      </c>
    </row>
    <row r="127" spans="1:19" x14ac:dyDescent="0.3">
      <c r="A127">
        <v>101</v>
      </c>
      <c r="B127">
        <v>10.6</v>
      </c>
      <c r="C127">
        <v>5.6</v>
      </c>
      <c r="D127">
        <v>2.2999999999999998</v>
      </c>
      <c r="E127" s="3">
        <v>0</v>
      </c>
      <c r="F127" s="3">
        <v>0</v>
      </c>
      <c r="G127" s="3">
        <v>0</v>
      </c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>
        <v>10.48</v>
      </c>
      <c r="S127">
        <v>0.32663221999999992</v>
      </c>
    </row>
    <row r="128" spans="1:19" x14ac:dyDescent="0.3">
      <c r="A128">
        <v>102</v>
      </c>
      <c r="B128">
        <v>8.3000000000000007</v>
      </c>
      <c r="C128">
        <v>5</v>
      </c>
      <c r="D128">
        <v>15.7</v>
      </c>
      <c r="E128" s="3">
        <v>0</v>
      </c>
      <c r="F128" s="3">
        <v>0</v>
      </c>
      <c r="G128" s="3">
        <v>0</v>
      </c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>
        <v>10.48</v>
      </c>
      <c r="S128">
        <v>0.32663221999999992</v>
      </c>
    </row>
    <row r="129" spans="1:19" x14ac:dyDescent="0.3">
      <c r="A129">
        <v>103</v>
      </c>
      <c r="B129">
        <v>18.899999999999999</v>
      </c>
      <c r="C129">
        <v>4.4000000000000004</v>
      </c>
      <c r="D129">
        <v>1</v>
      </c>
      <c r="E129" s="3">
        <v>0</v>
      </c>
      <c r="F129" s="3">
        <v>0</v>
      </c>
      <c r="G129" s="3">
        <v>0</v>
      </c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>
        <v>10.48</v>
      </c>
      <c r="S129">
        <v>0.32663221999999992</v>
      </c>
    </row>
    <row r="130" spans="1:19" x14ac:dyDescent="0.3">
      <c r="A130">
        <v>104</v>
      </c>
      <c r="B130">
        <v>25</v>
      </c>
      <c r="C130">
        <v>6.1</v>
      </c>
      <c r="D130">
        <v>12.7</v>
      </c>
      <c r="E130" s="3">
        <v>0</v>
      </c>
      <c r="F130" s="3">
        <v>0</v>
      </c>
      <c r="G130" s="3">
        <v>0</v>
      </c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>
        <v>10.48</v>
      </c>
      <c r="S130">
        <v>0.32663221999999992</v>
      </c>
    </row>
    <row r="131" spans="1:19" x14ac:dyDescent="0.3">
      <c r="A131">
        <v>105</v>
      </c>
      <c r="B131">
        <v>14.4</v>
      </c>
      <c r="C131">
        <v>6.1</v>
      </c>
      <c r="D131">
        <v>0</v>
      </c>
      <c r="E131" s="3">
        <v>0</v>
      </c>
      <c r="F131" s="3">
        <v>0</v>
      </c>
      <c r="G131" s="3">
        <v>0</v>
      </c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>
        <v>10.48</v>
      </c>
      <c r="S131">
        <v>0.32663221999999992</v>
      </c>
    </row>
    <row r="132" spans="1:19" x14ac:dyDescent="0.3">
      <c r="A132">
        <v>106</v>
      </c>
      <c r="B132">
        <v>20.6</v>
      </c>
      <c r="C132">
        <v>2.2000000000000002</v>
      </c>
      <c r="D132">
        <v>0</v>
      </c>
      <c r="E132" s="3">
        <v>0</v>
      </c>
      <c r="F132" s="3">
        <v>0</v>
      </c>
      <c r="G132" s="3">
        <v>0</v>
      </c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>
        <v>10.48</v>
      </c>
      <c r="S132">
        <v>0.32663221999999992</v>
      </c>
    </row>
    <row r="133" spans="1:19" x14ac:dyDescent="0.3">
      <c r="A133">
        <v>107</v>
      </c>
      <c r="B133">
        <v>25</v>
      </c>
      <c r="C133">
        <v>3.9</v>
      </c>
      <c r="D133">
        <v>0</v>
      </c>
      <c r="E133" s="3">
        <v>0</v>
      </c>
      <c r="F133" s="3">
        <v>0</v>
      </c>
      <c r="G133" s="3">
        <v>0</v>
      </c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>
        <v>10.48</v>
      </c>
      <c r="S133">
        <v>0.32663221999999992</v>
      </c>
    </row>
    <row r="134" spans="1:19" x14ac:dyDescent="0.3">
      <c r="A134">
        <v>108</v>
      </c>
      <c r="B134">
        <v>31.7</v>
      </c>
      <c r="C134">
        <v>13.9</v>
      </c>
      <c r="D134">
        <v>0.3</v>
      </c>
      <c r="E134" s="3">
        <v>0</v>
      </c>
      <c r="F134" s="3">
        <v>0</v>
      </c>
      <c r="G134" s="3">
        <v>0</v>
      </c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>
        <v>10.48</v>
      </c>
      <c r="S134">
        <v>0.32663221999999992</v>
      </c>
    </row>
    <row r="135" spans="1:19" x14ac:dyDescent="0.3">
      <c r="A135">
        <v>109</v>
      </c>
      <c r="B135">
        <v>21.1</v>
      </c>
      <c r="C135">
        <v>7.2</v>
      </c>
      <c r="D135">
        <v>0</v>
      </c>
      <c r="E135" s="3">
        <v>0</v>
      </c>
      <c r="F135" s="3">
        <v>0</v>
      </c>
      <c r="G135" s="3">
        <v>0</v>
      </c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>
        <v>10.48</v>
      </c>
      <c r="S135">
        <v>0.32663221999999992</v>
      </c>
    </row>
    <row r="136" spans="1:19" x14ac:dyDescent="0.3">
      <c r="A136">
        <v>110</v>
      </c>
      <c r="B136">
        <v>16.7</v>
      </c>
      <c r="C136">
        <v>6.1</v>
      </c>
      <c r="D136">
        <v>3.6</v>
      </c>
      <c r="E136" s="3">
        <v>0</v>
      </c>
      <c r="F136" s="3">
        <v>0</v>
      </c>
      <c r="G136" s="3">
        <v>0</v>
      </c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>
        <v>10.48</v>
      </c>
      <c r="S136">
        <v>0.32663221999999992</v>
      </c>
    </row>
    <row r="137" spans="1:19" x14ac:dyDescent="0.3">
      <c r="A137">
        <v>111</v>
      </c>
      <c r="B137">
        <v>16.7</v>
      </c>
      <c r="C137">
        <v>6.7</v>
      </c>
      <c r="D137">
        <v>2.2999999999999998</v>
      </c>
      <c r="E137" s="3">
        <v>0</v>
      </c>
      <c r="F137" s="3">
        <v>0</v>
      </c>
      <c r="G137" s="3">
        <v>0</v>
      </c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>
        <v>10.48</v>
      </c>
      <c r="S137">
        <v>0.32663221999999992</v>
      </c>
    </row>
    <row r="138" spans="1:19" x14ac:dyDescent="0.3">
      <c r="A138">
        <v>112</v>
      </c>
      <c r="B138">
        <v>18.3</v>
      </c>
      <c r="C138">
        <v>4.4000000000000004</v>
      </c>
      <c r="D138">
        <v>0</v>
      </c>
      <c r="E138" s="3">
        <v>0</v>
      </c>
      <c r="F138" s="3">
        <v>0</v>
      </c>
      <c r="G138" s="3">
        <v>0</v>
      </c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>
        <v>10.48</v>
      </c>
      <c r="S138">
        <v>0.32663221999999992</v>
      </c>
    </row>
    <row r="139" spans="1:19" x14ac:dyDescent="0.3">
      <c r="A139">
        <v>113</v>
      </c>
      <c r="B139">
        <v>24.4</v>
      </c>
      <c r="C139">
        <v>5</v>
      </c>
      <c r="D139">
        <v>0</v>
      </c>
      <c r="E139" s="3">
        <v>0</v>
      </c>
      <c r="F139" s="3">
        <v>0</v>
      </c>
      <c r="G139" s="3">
        <v>0</v>
      </c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>
        <v>10.48</v>
      </c>
      <c r="S139">
        <v>0.32663221999999992</v>
      </c>
    </row>
    <row r="140" spans="1:19" x14ac:dyDescent="0.3">
      <c r="A140">
        <v>114</v>
      </c>
      <c r="B140">
        <v>27.8</v>
      </c>
      <c r="C140">
        <v>16.100000000000001</v>
      </c>
      <c r="D140">
        <v>10.7</v>
      </c>
      <c r="E140" s="3">
        <v>0</v>
      </c>
      <c r="F140" s="3">
        <v>0</v>
      </c>
      <c r="G140" s="3">
        <v>0</v>
      </c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>
        <v>10.48</v>
      </c>
      <c r="S140">
        <v>0.32663221999999992</v>
      </c>
    </row>
    <row r="141" spans="1:19" x14ac:dyDescent="0.3">
      <c r="A141">
        <v>115</v>
      </c>
      <c r="B141">
        <v>26.7</v>
      </c>
      <c r="C141">
        <v>17.8</v>
      </c>
      <c r="D141">
        <v>0</v>
      </c>
      <c r="E141" s="3">
        <v>0</v>
      </c>
      <c r="F141" s="3">
        <v>0</v>
      </c>
      <c r="G141" s="3">
        <v>0</v>
      </c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>
        <v>10.48</v>
      </c>
      <c r="S141">
        <v>0.32663221999999992</v>
      </c>
    </row>
    <row r="142" spans="1:19" x14ac:dyDescent="0.3">
      <c r="A142">
        <v>116</v>
      </c>
      <c r="B142">
        <v>23.3</v>
      </c>
      <c r="C142">
        <v>6.1</v>
      </c>
      <c r="D142">
        <v>0</v>
      </c>
      <c r="E142" s="3">
        <v>0</v>
      </c>
      <c r="F142" s="3">
        <v>0</v>
      </c>
      <c r="G142" s="3">
        <v>0</v>
      </c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>
        <v>10.48</v>
      </c>
      <c r="S142">
        <v>0.32663221999999992</v>
      </c>
    </row>
    <row r="143" spans="1:19" x14ac:dyDescent="0.3">
      <c r="A143">
        <v>117</v>
      </c>
      <c r="B143">
        <v>10</v>
      </c>
      <c r="C143">
        <v>3.9</v>
      </c>
      <c r="D143">
        <v>1.5</v>
      </c>
      <c r="E143" s="3">
        <v>0</v>
      </c>
      <c r="F143" s="3">
        <v>0</v>
      </c>
      <c r="G143" s="3">
        <v>0</v>
      </c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>
        <v>10.48</v>
      </c>
      <c r="S143">
        <v>0.32663221999999992</v>
      </c>
    </row>
    <row r="144" spans="1:19" x14ac:dyDescent="0.3">
      <c r="A144">
        <v>118</v>
      </c>
      <c r="B144">
        <v>8.3000000000000007</v>
      </c>
      <c r="C144">
        <v>2.8</v>
      </c>
      <c r="D144">
        <v>5.3</v>
      </c>
      <c r="E144" s="3">
        <v>0</v>
      </c>
      <c r="F144" s="3">
        <v>0</v>
      </c>
      <c r="G144" s="3">
        <v>0</v>
      </c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>
        <v>10.48</v>
      </c>
      <c r="S144">
        <v>0.32663221999999992</v>
      </c>
    </row>
    <row r="145" spans="1:19" x14ac:dyDescent="0.3">
      <c r="A145">
        <v>119</v>
      </c>
      <c r="B145">
        <v>11.1</v>
      </c>
      <c r="C145">
        <v>0</v>
      </c>
      <c r="D145">
        <v>0</v>
      </c>
      <c r="E145" s="3">
        <v>0</v>
      </c>
      <c r="F145" s="3">
        <v>0</v>
      </c>
      <c r="G145" s="3">
        <v>0</v>
      </c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>
        <v>10.48</v>
      </c>
      <c r="S145">
        <v>0.32663221999999992</v>
      </c>
    </row>
    <row r="146" spans="1:19" x14ac:dyDescent="0.3">
      <c r="A146">
        <v>120</v>
      </c>
      <c r="B146">
        <v>5.6</v>
      </c>
      <c r="C146">
        <v>0.6</v>
      </c>
      <c r="D146">
        <v>13</v>
      </c>
      <c r="E146" s="3">
        <v>0</v>
      </c>
      <c r="F146" s="3">
        <v>0</v>
      </c>
      <c r="G146" s="3">
        <v>0</v>
      </c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>
        <v>10.48</v>
      </c>
      <c r="S146">
        <v>0.32663221999999992</v>
      </c>
    </row>
    <row r="147" spans="1:19" x14ac:dyDescent="0.3">
      <c r="A147">
        <v>121</v>
      </c>
      <c r="B147">
        <v>13.3</v>
      </c>
      <c r="C147">
        <v>0.6</v>
      </c>
      <c r="D147">
        <v>0</v>
      </c>
      <c r="E147" s="3">
        <v>0</v>
      </c>
      <c r="F147" s="3">
        <v>0</v>
      </c>
      <c r="G147" s="3">
        <v>0</v>
      </c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>
        <v>16.938709677419354</v>
      </c>
      <c r="S147">
        <v>0.42744460000000001</v>
      </c>
    </row>
    <row r="148" spans="1:19" x14ac:dyDescent="0.3">
      <c r="A148">
        <v>122</v>
      </c>
      <c r="B148">
        <v>15.6</v>
      </c>
      <c r="C148">
        <v>4.4000000000000004</v>
      </c>
      <c r="D148">
        <v>0</v>
      </c>
      <c r="E148" s="3">
        <v>0</v>
      </c>
      <c r="F148" s="3">
        <v>0</v>
      </c>
      <c r="G148" s="3">
        <v>0</v>
      </c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>
        <v>16.938709677419354</v>
      </c>
      <c r="S148">
        <v>0.42744460000000001</v>
      </c>
    </row>
    <row r="149" spans="1:19" x14ac:dyDescent="0.3">
      <c r="A149">
        <v>123</v>
      </c>
      <c r="B149">
        <v>18.3</v>
      </c>
      <c r="C149">
        <v>4.4000000000000004</v>
      </c>
      <c r="D149">
        <v>0</v>
      </c>
      <c r="E149" s="3">
        <v>0</v>
      </c>
      <c r="F149" s="3">
        <v>0</v>
      </c>
      <c r="G149" s="3">
        <v>0</v>
      </c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>
        <v>16.938709677419354</v>
      </c>
      <c r="S149">
        <v>0.42744460000000001</v>
      </c>
    </row>
    <row r="150" spans="1:19" x14ac:dyDescent="0.3">
      <c r="A150">
        <v>124</v>
      </c>
      <c r="B150">
        <v>18.899999999999999</v>
      </c>
      <c r="C150">
        <v>7.2</v>
      </c>
      <c r="D150">
        <v>1.5</v>
      </c>
      <c r="E150" s="3">
        <v>0</v>
      </c>
      <c r="F150" s="3">
        <v>0</v>
      </c>
      <c r="G150" s="3">
        <v>0</v>
      </c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>
        <v>16.938709677419354</v>
      </c>
      <c r="S150">
        <v>0.42744460000000001</v>
      </c>
    </row>
    <row r="151" spans="1:19" x14ac:dyDescent="0.3">
      <c r="A151">
        <v>125</v>
      </c>
      <c r="B151">
        <v>18.899999999999999</v>
      </c>
      <c r="C151">
        <v>6.1</v>
      </c>
      <c r="D151">
        <v>6.3</v>
      </c>
      <c r="E151" s="3">
        <v>0</v>
      </c>
      <c r="F151" s="3">
        <v>0</v>
      </c>
      <c r="G151" s="3">
        <v>0</v>
      </c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>
        <v>16.938709677419354</v>
      </c>
      <c r="S151">
        <v>0.42744460000000001</v>
      </c>
    </row>
    <row r="152" spans="1:19" x14ac:dyDescent="0.3">
      <c r="A152">
        <v>126</v>
      </c>
      <c r="B152">
        <v>10.6</v>
      </c>
      <c r="C152">
        <v>7.8</v>
      </c>
      <c r="D152">
        <v>4.0999999999999996</v>
      </c>
      <c r="E152" s="3">
        <v>0</v>
      </c>
      <c r="F152" s="3">
        <v>0</v>
      </c>
      <c r="G152" s="3">
        <v>0</v>
      </c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>
        <v>16.938709677419354</v>
      </c>
      <c r="S152">
        <v>0.42744460000000001</v>
      </c>
    </row>
    <row r="153" spans="1:19" x14ac:dyDescent="0.3">
      <c r="A153">
        <v>127</v>
      </c>
      <c r="B153">
        <v>14.4</v>
      </c>
      <c r="C153">
        <v>6.7</v>
      </c>
      <c r="D153">
        <v>1.8</v>
      </c>
      <c r="E153" s="3">
        <v>0</v>
      </c>
      <c r="F153" s="3">
        <v>0</v>
      </c>
      <c r="G153" s="3">
        <v>0</v>
      </c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>
        <v>16.938709677419354</v>
      </c>
      <c r="S153">
        <v>0.42744460000000001</v>
      </c>
    </row>
    <row r="154" spans="1:19" x14ac:dyDescent="0.3">
      <c r="A154">
        <v>128</v>
      </c>
      <c r="B154">
        <v>18.3</v>
      </c>
      <c r="C154">
        <v>2.8</v>
      </c>
      <c r="D154">
        <v>0</v>
      </c>
      <c r="E154" s="3">
        <v>0</v>
      </c>
      <c r="F154" s="3">
        <v>0</v>
      </c>
      <c r="G154" s="3">
        <v>0</v>
      </c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>
        <v>16.938709677419354</v>
      </c>
      <c r="S154">
        <v>0.42744460000000001</v>
      </c>
    </row>
    <row r="155" spans="1:19" x14ac:dyDescent="0.3">
      <c r="A155">
        <v>129</v>
      </c>
      <c r="B155">
        <v>22.2</v>
      </c>
      <c r="C155">
        <v>8.3000000000000007</v>
      </c>
      <c r="D155">
        <v>0</v>
      </c>
      <c r="E155" s="3">
        <v>0</v>
      </c>
      <c r="F155" s="3">
        <v>0</v>
      </c>
      <c r="G155" s="3">
        <v>0</v>
      </c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>
        <v>16.938709677419354</v>
      </c>
      <c r="S155">
        <v>0.42744460000000001</v>
      </c>
    </row>
    <row r="156" spans="1:19" x14ac:dyDescent="0.3">
      <c r="A156">
        <v>130</v>
      </c>
      <c r="B156">
        <v>26.1</v>
      </c>
      <c r="C156">
        <v>6.7</v>
      </c>
      <c r="D156">
        <v>0</v>
      </c>
      <c r="E156" s="3">
        <v>0</v>
      </c>
      <c r="F156" s="3">
        <v>0</v>
      </c>
      <c r="G156" s="3">
        <v>0</v>
      </c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>
        <v>16.938709677419354</v>
      </c>
      <c r="S156">
        <v>0.42744460000000001</v>
      </c>
    </row>
    <row r="157" spans="1:19" x14ac:dyDescent="0.3">
      <c r="A157">
        <v>131</v>
      </c>
      <c r="B157">
        <v>26.7</v>
      </c>
      <c r="C157">
        <v>12.8</v>
      </c>
      <c r="D157">
        <v>0</v>
      </c>
      <c r="E157" s="3">
        <v>0</v>
      </c>
      <c r="F157" s="3">
        <v>0</v>
      </c>
      <c r="G157" s="3">
        <v>0</v>
      </c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>
        <v>16.938709677419354</v>
      </c>
      <c r="S157">
        <v>0.42744460000000001</v>
      </c>
    </row>
    <row r="158" spans="1:19" x14ac:dyDescent="0.3">
      <c r="A158">
        <v>132</v>
      </c>
      <c r="B158">
        <v>24.4</v>
      </c>
      <c r="C158">
        <v>8.9</v>
      </c>
      <c r="D158">
        <v>0</v>
      </c>
      <c r="E158" s="3">
        <v>0</v>
      </c>
      <c r="F158" s="3">
        <v>0</v>
      </c>
      <c r="G158" s="3">
        <v>0</v>
      </c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>
        <v>16.938709677419354</v>
      </c>
      <c r="S158">
        <v>0.42744460000000001</v>
      </c>
    </row>
    <row r="159" spans="1:19" x14ac:dyDescent="0.3">
      <c r="A159">
        <v>133</v>
      </c>
      <c r="B159">
        <v>26.1</v>
      </c>
      <c r="C159">
        <v>10</v>
      </c>
      <c r="D159">
        <v>0</v>
      </c>
      <c r="E159" s="3">
        <v>0</v>
      </c>
      <c r="F159" s="3">
        <v>0</v>
      </c>
      <c r="G159" s="3">
        <v>0</v>
      </c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>
        <v>16.938709677419354</v>
      </c>
      <c r="S159">
        <v>0.42744460000000001</v>
      </c>
    </row>
    <row r="160" spans="1:19" x14ac:dyDescent="0.3">
      <c r="A160">
        <v>134</v>
      </c>
      <c r="B160">
        <v>20</v>
      </c>
      <c r="C160">
        <v>12.8</v>
      </c>
      <c r="D160">
        <v>5.0999999999999996</v>
      </c>
      <c r="E160" s="3">
        <v>0</v>
      </c>
      <c r="F160" s="3">
        <v>0</v>
      </c>
      <c r="G160" s="3">
        <v>0</v>
      </c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>
        <v>16.938709677419354</v>
      </c>
      <c r="S160">
        <v>0.42744460000000001</v>
      </c>
    </row>
    <row r="161" spans="1:19" x14ac:dyDescent="0.3">
      <c r="A161">
        <v>135</v>
      </c>
      <c r="B161">
        <v>25.6</v>
      </c>
      <c r="C161">
        <v>11.1</v>
      </c>
      <c r="D161">
        <v>0</v>
      </c>
      <c r="E161" s="3">
        <v>0</v>
      </c>
      <c r="F161" s="3">
        <v>0</v>
      </c>
      <c r="G161" s="3">
        <v>0</v>
      </c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>
        <v>16.938709677419354</v>
      </c>
      <c r="S161">
        <v>0.42744460000000001</v>
      </c>
    </row>
    <row r="162" spans="1:19" x14ac:dyDescent="0.3">
      <c r="A162">
        <v>136</v>
      </c>
      <c r="B162">
        <v>26.7</v>
      </c>
      <c r="C162">
        <v>12.8</v>
      </c>
      <c r="D162">
        <v>0</v>
      </c>
      <c r="E162" s="3">
        <v>0</v>
      </c>
      <c r="F162" s="3">
        <v>0</v>
      </c>
      <c r="G162" s="3">
        <v>0</v>
      </c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>
        <v>16.938709677419354</v>
      </c>
      <c r="S162">
        <v>0.42744460000000001</v>
      </c>
    </row>
    <row r="163" spans="1:19" x14ac:dyDescent="0.3">
      <c r="A163">
        <v>137</v>
      </c>
      <c r="B163">
        <v>25</v>
      </c>
      <c r="C163">
        <v>13.3</v>
      </c>
      <c r="D163">
        <v>0</v>
      </c>
      <c r="E163" s="3">
        <v>0</v>
      </c>
      <c r="F163" s="3">
        <v>0</v>
      </c>
      <c r="G163" s="3">
        <v>0</v>
      </c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>
        <v>16.938709677419354</v>
      </c>
      <c r="S163">
        <v>0.42744460000000001</v>
      </c>
    </row>
    <row r="164" spans="1:19" x14ac:dyDescent="0.3">
      <c r="A164">
        <v>138</v>
      </c>
      <c r="B164">
        <v>25.6</v>
      </c>
      <c r="C164">
        <v>10.6</v>
      </c>
      <c r="D164">
        <v>0</v>
      </c>
      <c r="E164" s="3">
        <v>0</v>
      </c>
      <c r="F164" s="3">
        <v>0</v>
      </c>
      <c r="G164" s="3">
        <v>0</v>
      </c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>
        <v>16.938709677419354</v>
      </c>
      <c r="S164">
        <v>0.42744460000000001</v>
      </c>
    </row>
    <row r="165" spans="1:19" x14ac:dyDescent="0.3">
      <c r="A165">
        <v>139</v>
      </c>
      <c r="B165">
        <v>25.6</v>
      </c>
      <c r="C165">
        <v>11.7</v>
      </c>
      <c r="D165">
        <v>0</v>
      </c>
      <c r="E165" s="3">
        <v>0</v>
      </c>
      <c r="F165" s="3">
        <v>0</v>
      </c>
      <c r="G165" s="3">
        <v>0</v>
      </c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>
        <v>16.938709677419354</v>
      </c>
      <c r="S165">
        <v>0.42744460000000001</v>
      </c>
    </row>
    <row r="166" spans="1:19" x14ac:dyDescent="0.3">
      <c r="A166">
        <v>140</v>
      </c>
      <c r="B166">
        <v>26.7</v>
      </c>
      <c r="C166">
        <v>10</v>
      </c>
      <c r="D166">
        <v>0</v>
      </c>
      <c r="E166" s="3">
        <v>0</v>
      </c>
      <c r="F166" s="3">
        <v>0</v>
      </c>
      <c r="G166" s="3">
        <v>0</v>
      </c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>
        <v>16.938709677419354</v>
      </c>
      <c r="S166">
        <v>0.42744460000000001</v>
      </c>
    </row>
    <row r="167" spans="1:19" x14ac:dyDescent="0.3">
      <c r="A167">
        <v>141</v>
      </c>
      <c r="B167">
        <v>27.8</v>
      </c>
      <c r="C167">
        <v>11.7</v>
      </c>
      <c r="D167">
        <v>0</v>
      </c>
      <c r="E167" s="3">
        <v>0</v>
      </c>
      <c r="F167" s="3">
        <v>0</v>
      </c>
      <c r="G167" s="3">
        <v>0</v>
      </c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>
        <v>16.938709677419354</v>
      </c>
      <c r="S167">
        <v>0.42744460000000001</v>
      </c>
    </row>
    <row r="168" spans="1:19" x14ac:dyDescent="0.3">
      <c r="A168">
        <v>142</v>
      </c>
      <c r="B168">
        <v>30.6</v>
      </c>
      <c r="C168">
        <v>15</v>
      </c>
      <c r="D168">
        <v>0</v>
      </c>
      <c r="E168" s="3">
        <v>0</v>
      </c>
      <c r="F168" s="3">
        <v>0</v>
      </c>
      <c r="G168" s="3">
        <v>0</v>
      </c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>
        <v>16.938709677419354</v>
      </c>
      <c r="S168">
        <v>0.42744460000000001</v>
      </c>
    </row>
    <row r="169" spans="1:19" x14ac:dyDescent="0.3">
      <c r="A169">
        <v>143</v>
      </c>
      <c r="B169">
        <v>31.7</v>
      </c>
      <c r="C169">
        <v>15.6</v>
      </c>
      <c r="D169">
        <v>21.1</v>
      </c>
      <c r="E169" s="3">
        <v>0</v>
      </c>
      <c r="F169" s="3">
        <v>0</v>
      </c>
      <c r="G169" s="3">
        <v>0</v>
      </c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>
        <v>16.938709677419354</v>
      </c>
      <c r="S169">
        <v>0.42744460000000001</v>
      </c>
    </row>
    <row r="170" spans="1:19" x14ac:dyDescent="0.3">
      <c r="A170">
        <v>144</v>
      </c>
      <c r="B170">
        <v>28.3</v>
      </c>
      <c r="C170">
        <v>15.6</v>
      </c>
      <c r="D170">
        <v>0</v>
      </c>
      <c r="E170" s="3">
        <v>0</v>
      </c>
      <c r="F170" s="3">
        <v>0</v>
      </c>
      <c r="G170" s="3">
        <v>0</v>
      </c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>
        <v>16.938709677419354</v>
      </c>
      <c r="S170">
        <v>0.42744460000000001</v>
      </c>
    </row>
    <row r="171" spans="1:19" x14ac:dyDescent="0.3">
      <c r="A171">
        <v>145</v>
      </c>
      <c r="B171">
        <v>26.1</v>
      </c>
      <c r="C171">
        <v>12.8</v>
      </c>
      <c r="D171">
        <v>4.8</v>
      </c>
      <c r="E171" s="3">
        <v>0</v>
      </c>
      <c r="F171" s="3">
        <v>0</v>
      </c>
      <c r="G171" s="3">
        <v>0</v>
      </c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>
        <v>16.938709677419354</v>
      </c>
      <c r="S171">
        <v>0.42744460000000001</v>
      </c>
    </row>
    <row r="172" spans="1:19" x14ac:dyDescent="0.3">
      <c r="A172">
        <v>146</v>
      </c>
      <c r="B172">
        <v>21.7</v>
      </c>
      <c r="C172">
        <v>10</v>
      </c>
      <c r="D172">
        <v>0</v>
      </c>
      <c r="E172" s="3">
        <v>0</v>
      </c>
      <c r="F172" s="3">
        <v>0</v>
      </c>
      <c r="G172" s="3">
        <v>0</v>
      </c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>
        <v>16.938709677419354</v>
      </c>
      <c r="S172">
        <v>0.42744460000000001</v>
      </c>
    </row>
    <row r="173" spans="1:19" x14ac:dyDescent="0.3">
      <c r="A173">
        <v>147</v>
      </c>
      <c r="B173">
        <v>23.3</v>
      </c>
      <c r="C173">
        <v>8.3000000000000007</v>
      </c>
      <c r="D173">
        <v>0</v>
      </c>
      <c r="E173" s="3">
        <v>0</v>
      </c>
      <c r="F173" s="3">
        <v>0</v>
      </c>
      <c r="G173" s="3">
        <v>0</v>
      </c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>
        <v>16.938709677419354</v>
      </c>
      <c r="S173">
        <v>0.42744460000000001</v>
      </c>
    </row>
    <row r="174" spans="1:19" x14ac:dyDescent="0.3">
      <c r="A174">
        <v>148</v>
      </c>
      <c r="B174">
        <v>25</v>
      </c>
      <c r="C174">
        <v>13.3</v>
      </c>
      <c r="D174">
        <v>0</v>
      </c>
      <c r="E174" s="3">
        <v>0</v>
      </c>
      <c r="F174" s="3">
        <v>0</v>
      </c>
      <c r="G174" s="3">
        <v>0</v>
      </c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>
        <v>16.938709677419354</v>
      </c>
      <c r="S174">
        <v>0.42744460000000001</v>
      </c>
    </row>
    <row r="175" spans="1:19" x14ac:dyDescent="0.3">
      <c r="A175">
        <v>149</v>
      </c>
      <c r="B175">
        <v>24.4</v>
      </c>
      <c r="C175">
        <v>17.2</v>
      </c>
      <c r="D175">
        <v>0</v>
      </c>
      <c r="E175" s="3">
        <v>0</v>
      </c>
      <c r="F175" s="3">
        <v>0</v>
      </c>
      <c r="G175" s="3">
        <v>0</v>
      </c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>
        <v>16.938709677419354</v>
      </c>
      <c r="S175">
        <v>0.42744460000000001</v>
      </c>
    </row>
    <row r="176" spans="1:19" x14ac:dyDescent="0.3">
      <c r="A176">
        <v>150</v>
      </c>
      <c r="B176">
        <v>29.4</v>
      </c>
      <c r="C176">
        <v>16.100000000000001</v>
      </c>
      <c r="D176">
        <v>0</v>
      </c>
      <c r="E176" s="3">
        <v>0</v>
      </c>
      <c r="F176" s="3">
        <v>0</v>
      </c>
      <c r="G176" s="3">
        <v>0</v>
      </c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>
        <v>16.938709677419354</v>
      </c>
      <c r="S176">
        <v>0.42744460000000001</v>
      </c>
    </row>
    <row r="177" spans="1:19" x14ac:dyDescent="0.3">
      <c r="A177">
        <v>151</v>
      </c>
      <c r="B177">
        <v>30</v>
      </c>
      <c r="C177">
        <v>18.3</v>
      </c>
      <c r="D177">
        <v>0</v>
      </c>
      <c r="E177" s="3">
        <v>0</v>
      </c>
      <c r="F177" s="3">
        <v>0</v>
      </c>
      <c r="G177" s="3">
        <v>0</v>
      </c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>
        <v>16.938709677419354</v>
      </c>
      <c r="S177">
        <v>0.42744460000000001</v>
      </c>
    </row>
    <row r="178" spans="1:19" x14ac:dyDescent="0.3">
      <c r="A178">
        <v>152</v>
      </c>
      <c r="B178">
        <v>21.7</v>
      </c>
      <c r="C178">
        <v>12.8</v>
      </c>
      <c r="D178">
        <v>27.9</v>
      </c>
      <c r="E178" s="3">
        <v>0</v>
      </c>
      <c r="F178" s="3">
        <v>0</v>
      </c>
      <c r="G178" s="3">
        <v>0</v>
      </c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>
        <v>22.416666666666664</v>
      </c>
      <c r="S178">
        <v>0.5097733333333333</v>
      </c>
    </row>
    <row r="179" spans="1:19" x14ac:dyDescent="0.3">
      <c r="A179">
        <v>153</v>
      </c>
      <c r="B179">
        <v>16.100000000000001</v>
      </c>
      <c r="C179">
        <v>11.1</v>
      </c>
      <c r="D179">
        <v>2</v>
      </c>
      <c r="E179" s="3">
        <v>0</v>
      </c>
      <c r="F179" s="3">
        <v>0</v>
      </c>
      <c r="G179" s="3">
        <v>0</v>
      </c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>
        <v>22.416666666666664</v>
      </c>
      <c r="S179">
        <v>0.5097733333333333</v>
      </c>
    </row>
    <row r="180" spans="1:19" x14ac:dyDescent="0.3">
      <c r="A180">
        <v>154</v>
      </c>
      <c r="B180">
        <v>23.3</v>
      </c>
      <c r="C180">
        <v>9.4</v>
      </c>
      <c r="D180">
        <v>0</v>
      </c>
      <c r="E180" s="3">
        <v>0</v>
      </c>
      <c r="F180" s="3">
        <v>0</v>
      </c>
      <c r="G180" s="3">
        <v>0</v>
      </c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>
        <v>22.416666666666664</v>
      </c>
      <c r="S180">
        <v>0.5097733333333333</v>
      </c>
    </row>
    <row r="181" spans="1:19" x14ac:dyDescent="0.3">
      <c r="A181">
        <v>155</v>
      </c>
      <c r="B181">
        <v>25</v>
      </c>
      <c r="C181">
        <v>11.7</v>
      </c>
      <c r="D181">
        <v>0</v>
      </c>
      <c r="E181" s="3">
        <v>0</v>
      </c>
      <c r="F181" s="3">
        <v>0</v>
      </c>
      <c r="G181" s="3">
        <v>0</v>
      </c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>
        <v>22.416666666666664</v>
      </c>
      <c r="S181">
        <v>0.5097733333333333</v>
      </c>
    </row>
    <row r="182" spans="1:19" x14ac:dyDescent="0.3">
      <c r="A182">
        <v>156</v>
      </c>
      <c r="B182">
        <v>26.7</v>
      </c>
      <c r="C182">
        <v>16.7</v>
      </c>
      <c r="D182">
        <v>24.1</v>
      </c>
      <c r="E182" s="3">
        <v>0</v>
      </c>
      <c r="F182" s="3">
        <v>0</v>
      </c>
      <c r="G182" s="3">
        <v>0</v>
      </c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>
        <v>22.416666666666664</v>
      </c>
      <c r="S182">
        <v>0.5097733333333333</v>
      </c>
    </row>
    <row r="183" spans="1:19" x14ac:dyDescent="0.3">
      <c r="A183">
        <v>157</v>
      </c>
      <c r="B183">
        <v>32.200000000000003</v>
      </c>
      <c r="C183">
        <v>18.3</v>
      </c>
      <c r="D183">
        <v>0</v>
      </c>
      <c r="E183" s="3">
        <v>0</v>
      </c>
      <c r="F183" s="3">
        <v>0</v>
      </c>
      <c r="G183" s="3">
        <v>0</v>
      </c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>
        <v>22.416666666666664</v>
      </c>
      <c r="S183">
        <v>0.5097733333333333</v>
      </c>
    </row>
    <row r="184" spans="1:19" x14ac:dyDescent="0.3">
      <c r="A184">
        <v>158</v>
      </c>
      <c r="B184">
        <v>29.4</v>
      </c>
      <c r="C184">
        <v>17.8</v>
      </c>
      <c r="D184">
        <v>0</v>
      </c>
      <c r="E184" s="3">
        <v>0</v>
      </c>
      <c r="F184" s="3">
        <v>0</v>
      </c>
      <c r="G184" s="3">
        <v>0</v>
      </c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>
        <v>22.416666666666664</v>
      </c>
      <c r="S184">
        <v>0.5097733333333333</v>
      </c>
    </row>
    <row r="185" spans="1:19" x14ac:dyDescent="0.3">
      <c r="A185">
        <v>159</v>
      </c>
      <c r="B185">
        <v>18.3</v>
      </c>
      <c r="C185">
        <v>13.9</v>
      </c>
      <c r="D185">
        <v>0</v>
      </c>
      <c r="E185" s="3">
        <v>0</v>
      </c>
      <c r="F185" s="3">
        <v>0</v>
      </c>
      <c r="G185" s="3">
        <v>0</v>
      </c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>
        <v>22.416666666666664</v>
      </c>
      <c r="S185">
        <v>0.5097733333333333</v>
      </c>
    </row>
    <row r="186" spans="1:19" x14ac:dyDescent="0.3">
      <c r="A186">
        <v>160</v>
      </c>
      <c r="B186">
        <v>23.9</v>
      </c>
      <c r="C186">
        <v>12.8</v>
      </c>
      <c r="D186">
        <v>1.5</v>
      </c>
      <c r="E186" s="3">
        <v>0</v>
      </c>
      <c r="F186" s="3">
        <v>0</v>
      </c>
      <c r="G186" s="3">
        <v>0</v>
      </c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>
        <v>22.416666666666664</v>
      </c>
      <c r="S186">
        <v>0.5097733333333333</v>
      </c>
    </row>
    <row r="187" spans="1:19" x14ac:dyDescent="0.3">
      <c r="A187">
        <v>161</v>
      </c>
      <c r="B187">
        <v>26.1</v>
      </c>
      <c r="C187">
        <v>13.9</v>
      </c>
      <c r="D187">
        <v>10.9</v>
      </c>
      <c r="E187" s="3">
        <v>0</v>
      </c>
      <c r="F187" s="3">
        <v>0</v>
      </c>
      <c r="G187" s="3">
        <v>0</v>
      </c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>
        <v>22.416666666666664</v>
      </c>
      <c r="S187">
        <v>0.5097733333333333</v>
      </c>
    </row>
    <row r="188" spans="1:19" x14ac:dyDescent="0.3">
      <c r="A188">
        <v>162</v>
      </c>
      <c r="B188">
        <v>26.1</v>
      </c>
      <c r="C188">
        <v>11.7</v>
      </c>
      <c r="D188">
        <v>0</v>
      </c>
      <c r="E188" s="3">
        <v>0</v>
      </c>
      <c r="F188" s="3">
        <v>0</v>
      </c>
      <c r="G188" s="3">
        <v>0</v>
      </c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>
        <v>22.416666666666664</v>
      </c>
      <c r="S188">
        <v>0.5097733333333333</v>
      </c>
    </row>
    <row r="189" spans="1:19" x14ac:dyDescent="0.3">
      <c r="A189">
        <v>163</v>
      </c>
      <c r="B189">
        <v>27.8</v>
      </c>
      <c r="C189">
        <v>15</v>
      </c>
      <c r="D189">
        <v>26.9</v>
      </c>
      <c r="E189" s="3">
        <v>0</v>
      </c>
      <c r="F189" s="3">
        <v>0</v>
      </c>
      <c r="G189" s="3">
        <v>0</v>
      </c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>
        <v>22.416666666666664</v>
      </c>
      <c r="S189">
        <v>0.5097733333333333</v>
      </c>
    </row>
    <row r="190" spans="1:19" x14ac:dyDescent="0.3">
      <c r="A190">
        <v>164</v>
      </c>
      <c r="B190">
        <v>31.1</v>
      </c>
      <c r="C190">
        <v>22.2</v>
      </c>
      <c r="D190">
        <v>0.5</v>
      </c>
      <c r="E190" s="3">
        <v>0</v>
      </c>
      <c r="F190" s="3">
        <v>0</v>
      </c>
      <c r="G190" s="3">
        <v>0</v>
      </c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>
        <v>22.416666666666664</v>
      </c>
      <c r="S190">
        <v>0.5097733333333333</v>
      </c>
    </row>
    <row r="191" spans="1:19" x14ac:dyDescent="0.3">
      <c r="A191">
        <v>165</v>
      </c>
      <c r="B191">
        <v>32.799999999999997</v>
      </c>
      <c r="C191">
        <v>23.9</v>
      </c>
      <c r="D191">
        <v>0</v>
      </c>
      <c r="E191" s="3">
        <v>0</v>
      </c>
      <c r="F191" s="3">
        <v>0</v>
      </c>
      <c r="G191" s="3">
        <v>0</v>
      </c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>
        <v>22.416666666666664</v>
      </c>
      <c r="S191">
        <v>0.5097733333333333</v>
      </c>
    </row>
    <row r="192" spans="1:19" x14ac:dyDescent="0.3">
      <c r="A192">
        <v>166</v>
      </c>
      <c r="B192">
        <v>31.1</v>
      </c>
      <c r="C192">
        <v>23.3</v>
      </c>
      <c r="D192">
        <v>0</v>
      </c>
      <c r="E192" s="3">
        <v>0</v>
      </c>
      <c r="F192" s="3">
        <v>0</v>
      </c>
      <c r="G192" s="3">
        <v>0</v>
      </c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>
        <v>22.416666666666664</v>
      </c>
      <c r="S192">
        <v>0.5097733333333333</v>
      </c>
    </row>
    <row r="193" spans="1:19" x14ac:dyDescent="0.3">
      <c r="A193">
        <v>167</v>
      </c>
      <c r="B193">
        <v>30</v>
      </c>
      <c r="C193">
        <v>20.6</v>
      </c>
      <c r="D193">
        <v>4.8</v>
      </c>
      <c r="E193" s="3">
        <v>0</v>
      </c>
      <c r="F193" s="3">
        <v>0</v>
      </c>
      <c r="G193" s="3">
        <v>0</v>
      </c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>
        <v>22.416666666666664</v>
      </c>
      <c r="S193">
        <v>0.5097733333333333</v>
      </c>
    </row>
    <row r="194" spans="1:19" x14ac:dyDescent="0.3">
      <c r="A194">
        <v>168</v>
      </c>
      <c r="B194">
        <v>32.200000000000003</v>
      </c>
      <c r="C194">
        <v>22.2</v>
      </c>
      <c r="D194">
        <v>2</v>
      </c>
      <c r="E194" s="3">
        <v>0</v>
      </c>
      <c r="F194" s="3">
        <v>0</v>
      </c>
      <c r="G194" s="3">
        <v>0</v>
      </c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>
        <v>22.416666666666664</v>
      </c>
      <c r="S194">
        <v>0.5097733333333333</v>
      </c>
    </row>
    <row r="195" spans="1:19" x14ac:dyDescent="0.3">
      <c r="A195">
        <v>169</v>
      </c>
      <c r="B195">
        <v>32.799999999999997</v>
      </c>
      <c r="C195">
        <v>21.1</v>
      </c>
      <c r="D195">
        <v>0</v>
      </c>
      <c r="E195" s="3">
        <v>0</v>
      </c>
      <c r="F195" s="3">
        <v>0</v>
      </c>
      <c r="G195" s="3">
        <v>0</v>
      </c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>
        <v>22.416666666666664</v>
      </c>
      <c r="S195">
        <v>0.5097733333333333</v>
      </c>
    </row>
    <row r="196" spans="1:19" x14ac:dyDescent="0.3">
      <c r="A196">
        <v>170</v>
      </c>
      <c r="B196">
        <v>32.200000000000003</v>
      </c>
      <c r="C196">
        <v>21.7</v>
      </c>
      <c r="D196">
        <v>0</v>
      </c>
      <c r="E196" s="3">
        <v>0</v>
      </c>
      <c r="F196" s="3">
        <v>0</v>
      </c>
      <c r="G196" s="3">
        <v>0</v>
      </c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>
        <v>22.416666666666664</v>
      </c>
      <c r="S196">
        <v>0.5097733333333333</v>
      </c>
    </row>
    <row r="197" spans="1:19" x14ac:dyDescent="0.3">
      <c r="A197">
        <v>171</v>
      </c>
      <c r="B197">
        <v>33.299999999999997</v>
      </c>
      <c r="C197">
        <v>20.6</v>
      </c>
      <c r="D197">
        <v>1.8</v>
      </c>
      <c r="E197" s="3">
        <v>0</v>
      </c>
      <c r="F197" s="3">
        <v>0</v>
      </c>
      <c r="G197" s="3">
        <v>0</v>
      </c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>
        <v>22.416666666666664</v>
      </c>
      <c r="S197">
        <v>0.5097733333333333</v>
      </c>
    </row>
    <row r="198" spans="1:19" x14ac:dyDescent="0.3">
      <c r="A198">
        <v>172</v>
      </c>
      <c r="B198">
        <v>31.7</v>
      </c>
      <c r="C198">
        <v>20</v>
      </c>
      <c r="D198">
        <v>0</v>
      </c>
      <c r="E198" s="3">
        <v>0</v>
      </c>
      <c r="F198" s="3">
        <v>0</v>
      </c>
      <c r="G198" s="3">
        <v>0</v>
      </c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>
        <v>22.416666666666664</v>
      </c>
      <c r="S198">
        <v>0.5097733333333333</v>
      </c>
    </row>
    <row r="199" spans="1:19" x14ac:dyDescent="0.3">
      <c r="A199">
        <v>173</v>
      </c>
      <c r="B199">
        <v>29.4</v>
      </c>
      <c r="C199">
        <v>18.899999999999999</v>
      </c>
      <c r="D199">
        <v>1.5</v>
      </c>
      <c r="E199" s="3">
        <v>0</v>
      </c>
      <c r="F199" s="3">
        <v>0</v>
      </c>
      <c r="G199" s="3">
        <v>0</v>
      </c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>
        <v>22.416666666666664</v>
      </c>
      <c r="S199">
        <v>0.5097733333333333</v>
      </c>
    </row>
    <row r="200" spans="1:19" x14ac:dyDescent="0.3">
      <c r="A200">
        <v>174</v>
      </c>
      <c r="B200">
        <v>25</v>
      </c>
      <c r="C200">
        <v>16.100000000000001</v>
      </c>
      <c r="D200">
        <v>29</v>
      </c>
      <c r="E200" s="3">
        <v>0</v>
      </c>
      <c r="F200" s="3">
        <v>0</v>
      </c>
      <c r="G200" s="3">
        <v>0</v>
      </c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>
        <v>22.416666666666664</v>
      </c>
      <c r="S200">
        <v>0.5097733333333333</v>
      </c>
    </row>
    <row r="201" spans="1:19" x14ac:dyDescent="0.3">
      <c r="A201">
        <v>175</v>
      </c>
      <c r="B201">
        <v>28.3</v>
      </c>
      <c r="C201">
        <v>15.6</v>
      </c>
      <c r="D201">
        <v>0</v>
      </c>
      <c r="E201" s="3">
        <v>0</v>
      </c>
      <c r="F201" s="3">
        <v>0</v>
      </c>
      <c r="G201" s="3">
        <v>0</v>
      </c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>
        <v>22.416666666666664</v>
      </c>
      <c r="S201">
        <v>0.5097733333333333</v>
      </c>
    </row>
    <row r="202" spans="1:19" x14ac:dyDescent="0.3">
      <c r="A202">
        <v>176</v>
      </c>
      <c r="B202">
        <v>30</v>
      </c>
      <c r="C202">
        <v>16.100000000000001</v>
      </c>
      <c r="D202">
        <v>1.3</v>
      </c>
      <c r="E202" s="3">
        <v>0</v>
      </c>
      <c r="F202" s="3">
        <v>0</v>
      </c>
      <c r="G202" s="3">
        <v>0</v>
      </c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>
        <v>22.416666666666664</v>
      </c>
      <c r="S202">
        <v>0.5097733333333333</v>
      </c>
    </row>
    <row r="203" spans="1:19" x14ac:dyDescent="0.3">
      <c r="A203">
        <v>177</v>
      </c>
      <c r="B203">
        <v>26.7</v>
      </c>
      <c r="C203">
        <v>17.8</v>
      </c>
      <c r="D203">
        <v>0</v>
      </c>
      <c r="E203" s="3">
        <v>0</v>
      </c>
      <c r="F203" s="3">
        <v>0</v>
      </c>
      <c r="G203" s="3">
        <v>0</v>
      </c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>
        <v>22.416666666666664</v>
      </c>
      <c r="S203">
        <v>0.5097733333333333</v>
      </c>
    </row>
    <row r="204" spans="1:19" x14ac:dyDescent="0.3">
      <c r="A204">
        <v>178</v>
      </c>
      <c r="B204">
        <v>27.8</v>
      </c>
      <c r="C204">
        <v>15</v>
      </c>
      <c r="D204">
        <v>0</v>
      </c>
      <c r="E204" s="3">
        <v>0</v>
      </c>
      <c r="F204" s="3">
        <v>0</v>
      </c>
      <c r="G204" s="3">
        <v>0</v>
      </c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>
        <v>22.416666666666664</v>
      </c>
      <c r="S204">
        <v>0.5097733333333333</v>
      </c>
    </row>
    <row r="205" spans="1:19" x14ac:dyDescent="0.3">
      <c r="A205">
        <v>179</v>
      </c>
      <c r="B205">
        <v>28.3</v>
      </c>
      <c r="C205">
        <v>16.100000000000001</v>
      </c>
      <c r="D205">
        <v>0</v>
      </c>
      <c r="E205" s="3">
        <v>0</v>
      </c>
      <c r="F205" s="3">
        <v>0</v>
      </c>
      <c r="G205" s="3">
        <v>0</v>
      </c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>
        <v>22.416666666666664</v>
      </c>
      <c r="S205">
        <v>0.5097733333333333</v>
      </c>
    </row>
    <row r="206" spans="1:19" x14ac:dyDescent="0.3">
      <c r="A206">
        <v>180</v>
      </c>
      <c r="B206">
        <v>27.8</v>
      </c>
      <c r="C206">
        <v>17.2</v>
      </c>
      <c r="D206">
        <v>0</v>
      </c>
      <c r="E206" s="3">
        <v>0</v>
      </c>
      <c r="F206" s="3">
        <v>0</v>
      </c>
      <c r="G206" s="3">
        <v>0</v>
      </c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>
        <v>22.416666666666664</v>
      </c>
      <c r="S206">
        <v>0.5097733333333333</v>
      </c>
    </row>
    <row r="207" spans="1:19" x14ac:dyDescent="0.3">
      <c r="A207">
        <v>181</v>
      </c>
      <c r="B207">
        <v>29.4</v>
      </c>
      <c r="C207">
        <v>15</v>
      </c>
      <c r="D207">
        <v>0</v>
      </c>
      <c r="E207" s="3">
        <v>0</v>
      </c>
      <c r="F207" s="3">
        <v>0</v>
      </c>
      <c r="G207" s="3">
        <v>0</v>
      </c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>
        <v>22.416666666666664</v>
      </c>
      <c r="S207">
        <v>0.5097733333333333</v>
      </c>
    </row>
    <row r="208" spans="1:19" x14ac:dyDescent="0.3">
      <c r="A208">
        <v>182</v>
      </c>
      <c r="B208">
        <v>32.200000000000003</v>
      </c>
      <c r="C208">
        <v>16.7</v>
      </c>
      <c r="D208">
        <v>30</v>
      </c>
      <c r="E208" s="3">
        <v>0</v>
      </c>
      <c r="F208" s="3">
        <v>0</v>
      </c>
      <c r="G208" s="3">
        <v>0</v>
      </c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>
        <v>22.745161290322581</v>
      </c>
      <c r="S208">
        <v>0.49782460000000006</v>
      </c>
    </row>
    <row r="209" spans="1:19" x14ac:dyDescent="0.3">
      <c r="A209">
        <v>183</v>
      </c>
      <c r="B209">
        <v>26.7</v>
      </c>
      <c r="C209">
        <v>17.8</v>
      </c>
      <c r="D209">
        <v>0</v>
      </c>
      <c r="E209" s="3">
        <v>0</v>
      </c>
      <c r="F209" s="3">
        <v>0</v>
      </c>
      <c r="G209" s="3">
        <v>0</v>
      </c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>
        <v>22.745161290322581</v>
      </c>
      <c r="S209">
        <v>0.49782460000000006</v>
      </c>
    </row>
    <row r="210" spans="1:19" x14ac:dyDescent="0.3">
      <c r="A210">
        <v>184</v>
      </c>
      <c r="B210">
        <v>23.3</v>
      </c>
      <c r="C210">
        <v>15.6</v>
      </c>
      <c r="D210">
        <v>0.3</v>
      </c>
      <c r="E210" s="3">
        <v>0</v>
      </c>
      <c r="F210" s="3">
        <v>0</v>
      </c>
      <c r="G210" s="3">
        <v>0</v>
      </c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>
        <v>22.745161290322581</v>
      </c>
      <c r="S210">
        <v>0.49782460000000006</v>
      </c>
    </row>
    <row r="211" spans="1:19" x14ac:dyDescent="0.3">
      <c r="A211">
        <v>185</v>
      </c>
      <c r="B211">
        <v>31.7</v>
      </c>
      <c r="C211">
        <v>21.1</v>
      </c>
      <c r="D211">
        <v>0</v>
      </c>
      <c r="E211" s="3">
        <v>0</v>
      </c>
      <c r="F211" s="3">
        <v>0</v>
      </c>
      <c r="G211" s="3">
        <v>0</v>
      </c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>
        <v>22.745161290322581</v>
      </c>
      <c r="S211">
        <v>0.49782460000000006</v>
      </c>
    </row>
    <row r="212" spans="1:19" x14ac:dyDescent="0.3">
      <c r="A212">
        <v>186</v>
      </c>
      <c r="B212">
        <v>32.200000000000003</v>
      </c>
      <c r="C212">
        <v>21.1</v>
      </c>
      <c r="D212">
        <v>0</v>
      </c>
      <c r="E212" s="3">
        <v>0</v>
      </c>
      <c r="F212" s="3">
        <v>0</v>
      </c>
      <c r="G212" s="3">
        <v>0</v>
      </c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>
        <v>22.745161290322581</v>
      </c>
      <c r="S212">
        <v>0.49782460000000006</v>
      </c>
    </row>
    <row r="213" spans="1:19" x14ac:dyDescent="0.3">
      <c r="A213">
        <v>187</v>
      </c>
      <c r="B213">
        <v>32.200000000000003</v>
      </c>
      <c r="C213">
        <v>20.6</v>
      </c>
      <c r="D213">
        <v>0</v>
      </c>
      <c r="E213" s="3">
        <v>0</v>
      </c>
      <c r="F213" s="3">
        <v>0</v>
      </c>
      <c r="G213" s="3">
        <v>0</v>
      </c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>
        <v>22.745161290322581</v>
      </c>
      <c r="S213">
        <v>0.49782460000000006</v>
      </c>
    </row>
    <row r="214" spans="1:19" x14ac:dyDescent="0.3">
      <c r="A214">
        <v>188</v>
      </c>
      <c r="B214">
        <v>30.6</v>
      </c>
      <c r="C214">
        <v>20</v>
      </c>
      <c r="D214">
        <v>10.199999999999999</v>
      </c>
      <c r="E214" s="3">
        <v>0</v>
      </c>
      <c r="F214" s="3">
        <v>0</v>
      </c>
      <c r="G214" s="3">
        <v>0</v>
      </c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>
        <v>22.745161290322581</v>
      </c>
      <c r="S214">
        <v>0.49782460000000006</v>
      </c>
    </row>
    <row r="215" spans="1:19" x14ac:dyDescent="0.3">
      <c r="A215">
        <v>189</v>
      </c>
      <c r="B215">
        <v>22.2</v>
      </c>
      <c r="C215">
        <v>14.4</v>
      </c>
      <c r="D215">
        <v>0.8</v>
      </c>
      <c r="E215" s="3">
        <v>0</v>
      </c>
      <c r="F215" s="3">
        <v>0</v>
      </c>
      <c r="G215" s="3">
        <v>0</v>
      </c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>
        <v>22.745161290322581</v>
      </c>
      <c r="S215">
        <v>0.49782460000000006</v>
      </c>
    </row>
    <row r="216" spans="1:19" x14ac:dyDescent="0.3">
      <c r="A216">
        <v>190</v>
      </c>
      <c r="B216">
        <v>25.6</v>
      </c>
      <c r="C216">
        <v>15</v>
      </c>
      <c r="D216">
        <v>0</v>
      </c>
      <c r="E216" s="3">
        <v>0</v>
      </c>
      <c r="F216" s="3">
        <v>0</v>
      </c>
      <c r="G216" s="3">
        <v>0</v>
      </c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>
        <v>22.745161290322581</v>
      </c>
      <c r="S216">
        <v>0.49782460000000006</v>
      </c>
    </row>
    <row r="217" spans="1:19" x14ac:dyDescent="0.3">
      <c r="A217">
        <v>191</v>
      </c>
      <c r="B217">
        <v>27.2</v>
      </c>
      <c r="C217">
        <v>13.9</v>
      </c>
      <c r="D217">
        <v>0</v>
      </c>
      <c r="E217" s="3">
        <v>0</v>
      </c>
      <c r="F217" s="3">
        <v>0</v>
      </c>
      <c r="G217" s="3">
        <v>0</v>
      </c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>
        <v>22.745161290322581</v>
      </c>
      <c r="S217">
        <v>0.49782460000000006</v>
      </c>
    </row>
    <row r="218" spans="1:19" x14ac:dyDescent="0.3">
      <c r="A218">
        <v>192</v>
      </c>
      <c r="B218">
        <v>31.7</v>
      </c>
      <c r="C218">
        <v>19.399999999999999</v>
      </c>
      <c r="D218">
        <v>0</v>
      </c>
      <c r="E218" s="3">
        <v>0</v>
      </c>
      <c r="F218" s="3">
        <v>0</v>
      </c>
      <c r="G218" s="3">
        <v>0</v>
      </c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>
        <v>22.745161290322581</v>
      </c>
      <c r="S218">
        <v>0.49782460000000006</v>
      </c>
    </row>
    <row r="219" spans="1:19" x14ac:dyDescent="0.3">
      <c r="A219">
        <v>193</v>
      </c>
      <c r="B219">
        <v>31.1</v>
      </c>
      <c r="C219">
        <v>17.2</v>
      </c>
      <c r="D219">
        <v>17.8</v>
      </c>
      <c r="E219" s="3">
        <v>0</v>
      </c>
      <c r="F219" s="3">
        <v>0</v>
      </c>
      <c r="G219" s="3">
        <v>0</v>
      </c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>
        <v>22.745161290322581</v>
      </c>
      <c r="S219">
        <v>0.49782460000000006</v>
      </c>
    </row>
    <row r="220" spans="1:19" x14ac:dyDescent="0.3">
      <c r="A220">
        <v>194</v>
      </c>
      <c r="B220">
        <v>28.9</v>
      </c>
      <c r="C220">
        <v>17.8</v>
      </c>
      <c r="D220">
        <v>10.4</v>
      </c>
      <c r="E220" s="3">
        <v>0</v>
      </c>
      <c r="F220" s="3">
        <v>0</v>
      </c>
      <c r="G220" s="3">
        <v>0</v>
      </c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>
        <v>22.745161290322581</v>
      </c>
      <c r="S220">
        <v>0.49782460000000006</v>
      </c>
    </row>
    <row r="221" spans="1:19" x14ac:dyDescent="0.3">
      <c r="A221">
        <v>195</v>
      </c>
      <c r="B221">
        <v>23.9</v>
      </c>
      <c r="C221">
        <v>17.2</v>
      </c>
      <c r="D221">
        <v>0</v>
      </c>
      <c r="E221" s="3">
        <v>0</v>
      </c>
      <c r="F221" s="3">
        <v>0</v>
      </c>
      <c r="G221" s="3">
        <v>0</v>
      </c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>
        <v>22.745161290322581</v>
      </c>
      <c r="S221">
        <v>0.49782460000000006</v>
      </c>
    </row>
    <row r="222" spans="1:19" x14ac:dyDescent="0.3">
      <c r="A222">
        <v>196</v>
      </c>
      <c r="B222">
        <v>27.8</v>
      </c>
      <c r="C222">
        <v>13.9</v>
      </c>
      <c r="D222">
        <v>0</v>
      </c>
      <c r="E222" s="3">
        <v>0</v>
      </c>
      <c r="F222" s="3">
        <v>0</v>
      </c>
      <c r="G222" s="3">
        <v>0</v>
      </c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>
        <v>22.745161290322581</v>
      </c>
      <c r="S222">
        <v>0.49782460000000006</v>
      </c>
    </row>
    <row r="223" spans="1:19" x14ac:dyDescent="0.3">
      <c r="A223">
        <v>197</v>
      </c>
      <c r="B223">
        <v>28.3</v>
      </c>
      <c r="C223">
        <v>18.899999999999999</v>
      </c>
      <c r="D223">
        <v>0</v>
      </c>
      <c r="E223" s="3">
        <v>0</v>
      </c>
      <c r="F223" s="3">
        <v>0</v>
      </c>
      <c r="G223" s="3">
        <v>0</v>
      </c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>
        <v>22.745161290322581</v>
      </c>
      <c r="S223">
        <v>0.49782460000000006</v>
      </c>
    </row>
    <row r="224" spans="1:19" x14ac:dyDescent="0.3">
      <c r="A224">
        <v>198</v>
      </c>
      <c r="B224">
        <v>30</v>
      </c>
      <c r="C224">
        <v>18.3</v>
      </c>
      <c r="D224">
        <v>0</v>
      </c>
      <c r="E224" s="3">
        <v>0</v>
      </c>
      <c r="F224" s="3">
        <v>0</v>
      </c>
      <c r="G224" s="3">
        <v>0</v>
      </c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>
        <v>22.745161290322581</v>
      </c>
      <c r="S224">
        <v>0.49782460000000006</v>
      </c>
    </row>
    <row r="225" spans="1:19" x14ac:dyDescent="0.3">
      <c r="A225">
        <v>199</v>
      </c>
      <c r="B225">
        <v>30.6</v>
      </c>
      <c r="C225">
        <v>17.8</v>
      </c>
      <c r="D225">
        <v>0</v>
      </c>
      <c r="E225" s="3">
        <v>0</v>
      </c>
      <c r="F225" s="3">
        <v>0</v>
      </c>
      <c r="G225" s="3">
        <v>0</v>
      </c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>
        <v>22.745161290322581</v>
      </c>
      <c r="S225">
        <v>0.49782460000000006</v>
      </c>
    </row>
    <row r="226" spans="1:19" x14ac:dyDescent="0.3">
      <c r="A226">
        <v>200</v>
      </c>
      <c r="B226">
        <v>35</v>
      </c>
      <c r="C226">
        <v>21.7</v>
      </c>
      <c r="D226">
        <v>11.9</v>
      </c>
      <c r="E226" s="3">
        <v>0</v>
      </c>
      <c r="F226" s="3">
        <v>0</v>
      </c>
      <c r="G226" s="3">
        <v>0</v>
      </c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>
        <v>22.745161290322581</v>
      </c>
      <c r="S226">
        <v>0.49782460000000006</v>
      </c>
    </row>
    <row r="227" spans="1:19" x14ac:dyDescent="0.3">
      <c r="A227">
        <v>201</v>
      </c>
      <c r="B227">
        <v>26.1</v>
      </c>
      <c r="C227">
        <v>17.8</v>
      </c>
      <c r="D227">
        <v>0.8</v>
      </c>
      <c r="E227" s="3">
        <v>0</v>
      </c>
      <c r="F227" s="3">
        <v>0</v>
      </c>
      <c r="G227" s="3">
        <v>0</v>
      </c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>
        <v>22.745161290322581</v>
      </c>
      <c r="S227">
        <v>0.49782460000000006</v>
      </c>
    </row>
    <row r="228" spans="1:19" x14ac:dyDescent="0.3">
      <c r="A228">
        <v>202</v>
      </c>
      <c r="B228">
        <v>27.2</v>
      </c>
      <c r="C228">
        <v>15.6</v>
      </c>
      <c r="D228">
        <v>1</v>
      </c>
      <c r="E228" s="3">
        <v>0</v>
      </c>
      <c r="F228" s="3">
        <v>0</v>
      </c>
      <c r="G228" s="3">
        <v>0</v>
      </c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>
        <v>22.745161290322581</v>
      </c>
      <c r="S228">
        <v>0.49782460000000006</v>
      </c>
    </row>
    <row r="229" spans="1:19" x14ac:dyDescent="0.3">
      <c r="A229">
        <v>203</v>
      </c>
      <c r="B229">
        <v>28.3</v>
      </c>
      <c r="C229">
        <v>16.100000000000001</v>
      </c>
      <c r="D229">
        <v>0</v>
      </c>
      <c r="E229" s="3">
        <v>0</v>
      </c>
      <c r="F229" s="3">
        <v>0</v>
      </c>
      <c r="G229" s="3">
        <v>0</v>
      </c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>
        <v>22.745161290322581</v>
      </c>
      <c r="S229">
        <v>0.49782460000000006</v>
      </c>
    </row>
    <row r="230" spans="1:19" x14ac:dyDescent="0.3">
      <c r="A230">
        <v>204</v>
      </c>
      <c r="B230">
        <v>30</v>
      </c>
      <c r="C230">
        <v>16.7</v>
      </c>
      <c r="D230">
        <v>0</v>
      </c>
      <c r="E230" s="3">
        <v>0</v>
      </c>
      <c r="F230" s="3">
        <v>0</v>
      </c>
      <c r="G230" s="3">
        <v>0</v>
      </c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>
        <v>22.745161290322581</v>
      </c>
      <c r="S230">
        <v>0.49782460000000006</v>
      </c>
    </row>
    <row r="231" spans="1:19" x14ac:dyDescent="0.3">
      <c r="A231">
        <v>205</v>
      </c>
      <c r="B231">
        <v>27.2</v>
      </c>
      <c r="C231">
        <v>17.2</v>
      </c>
      <c r="D231">
        <v>0</v>
      </c>
      <c r="E231" s="3">
        <v>0</v>
      </c>
      <c r="F231" s="3">
        <v>0</v>
      </c>
      <c r="G231" s="3">
        <v>0</v>
      </c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>
        <v>22.745161290322581</v>
      </c>
      <c r="S231">
        <v>0.49782460000000006</v>
      </c>
    </row>
    <row r="232" spans="1:19" x14ac:dyDescent="0.3">
      <c r="A232">
        <v>206</v>
      </c>
      <c r="B232">
        <v>29.4</v>
      </c>
      <c r="C232">
        <v>15.6</v>
      </c>
      <c r="D232">
        <v>0</v>
      </c>
      <c r="E232" s="3">
        <v>0</v>
      </c>
      <c r="F232" s="3">
        <v>0</v>
      </c>
      <c r="G232" s="3">
        <v>0</v>
      </c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>
        <v>22.745161290322581</v>
      </c>
      <c r="S232">
        <v>0.49782460000000006</v>
      </c>
    </row>
    <row r="233" spans="1:19" x14ac:dyDescent="0.3">
      <c r="A233">
        <v>207</v>
      </c>
      <c r="B233">
        <v>25</v>
      </c>
      <c r="C233">
        <v>12.8</v>
      </c>
      <c r="D233">
        <v>0</v>
      </c>
      <c r="E233" s="3">
        <v>0</v>
      </c>
      <c r="F233" s="3">
        <v>0</v>
      </c>
      <c r="G233" s="3">
        <v>0</v>
      </c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>
        <v>22.745161290322581</v>
      </c>
      <c r="S233">
        <v>0.49782460000000006</v>
      </c>
    </row>
    <row r="234" spans="1:19" x14ac:dyDescent="0.3">
      <c r="A234">
        <v>208</v>
      </c>
      <c r="B234">
        <v>26.1</v>
      </c>
      <c r="C234">
        <v>15</v>
      </c>
      <c r="D234">
        <v>4.0999999999999996</v>
      </c>
      <c r="E234" s="3">
        <v>0</v>
      </c>
      <c r="F234" s="3">
        <v>0</v>
      </c>
      <c r="G234" s="3">
        <v>0</v>
      </c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>
        <v>22.745161290322581</v>
      </c>
      <c r="S234">
        <v>0.49782460000000006</v>
      </c>
    </row>
    <row r="235" spans="1:19" x14ac:dyDescent="0.3">
      <c r="A235">
        <v>209</v>
      </c>
      <c r="B235">
        <v>27.2</v>
      </c>
      <c r="C235">
        <v>12.8</v>
      </c>
      <c r="D235">
        <v>0</v>
      </c>
      <c r="E235" s="3">
        <v>0</v>
      </c>
      <c r="F235" s="3">
        <v>0</v>
      </c>
      <c r="G235" s="3">
        <v>0</v>
      </c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>
        <v>22.745161290322581</v>
      </c>
      <c r="S235">
        <v>0.49782460000000006</v>
      </c>
    </row>
    <row r="236" spans="1:19" x14ac:dyDescent="0.3">
      <c r="A236">
        <v>210</v>
      </c>
      <c r="B236">
        <v>27.8</v>
      </c>
      <c r="C236">
        <v>13.9</v>
      </c>
      <c r="D236">
        <v>0</v>
      </c>
      <c r="E236" s="3">
        <v>0</v>
      </c>
      <c r="F236" s="3">
        <v>0</v>
      </c>
      <c r="G236" s="3">
        <v>0</v>
      </c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>
        <v>22.745161290322581</v>
      </c>
      <c r="S236">
        <v>0.49782460000000006</v>
      </c>
    </row>
    <row r="237" spans="1:19" x14ac:dyDescent="0.3">
      <c r="A237">
        <v>211</v>
      </c>
      <c r="B237">
        <v>28.3</v>
      </c>
      <c r="C237">
        <v>15</v>
      </c>
      <c r="D237">
        <v>0</v>
      </c>
      <c r="E237" s="3">
        <v>0</v>
      </c>
      <c r="F237" s="3">
        <v>0</v>
      </c>
      <c r="G237" s="3">
        <v>0</v>
      </c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>
        <v>22.745161290322581</v>
      </c>
      <c r="S237">
        <v>0.49782460000000006</v>
      </c>
    </row>
    <row r="238" spans="1:19" x14ac:dyDescent="0.3">
      <c r="A238">
        <v>212</v>
      </c>
      <c r="B238">
        <v>31.7</v>
      </c>
      <c r="C238">
        <v>17.8</v>
      </c>
      <c r="D238">
        <v>22.1</v>
      </c>
      <c r="E238" s="3">
        <v>0</v>
      </c>
      <c r="F238" s="3">
        <v>0</v>
      </c>
      <c r="G238" s="3">
        <v>0</v>
      </c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>
        <v>22.745161290322581</v>
      </c>
      <c r="S238">
        <v>0.49782460000000006</v>
      </c>
    </row>
    <row r="239" spans="1:19" x14ac:dyDescent="0.3">
      <c r="A239">
        <v>213</v>
      </c>
      <c r="B239">
        <v>29.4</v>
      </c>
      <c r="C239">
        <v>18.3</v>
      </c>
      <c r="D239">
        <v>2.8</v>
      </c>
      <c r="E239" s="3">
        <v>0</v>
      </c>
      <c r="F239" s="3">
        <v>0</v>
      </c>
      <c r="G239" s="3">
        <v>0</v>
      </c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>
        <v>21.804838709677419</v>
      </c>
      <c r="S239">
        <v>0.47073575806451606</v>
      </c>
    </row>
    <row r="240" spans="1:19" x14ac:dyDescent="0.3">
      <c r="A240">
        <v>214</v>
      </c>
      <c r="B240">
        <v>30</v>
      </c>
      <c r="C240">
        <v>20</v>
      </c>
      <c r="D240">
        <v>0</v>
      </c>
      <c r="E240" s="3">
        <v>0</v>
      </c>
      <c r="F240" s="3">
        <v>0</v>
      </c>
      <c r="G240" s="3">
        <v>0</v>
      </c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>
        <v>21.804838709677419</v>
      </c>
      <c r="S240">
        <v>0.47073575806451606</v>
      </c>
    </row>
    <row r="241" spans="1:19" x14ac:dyDescent="0.3">
      <c r="A241">
        <v>215</v>
      </c>
      <c r="B241">
        <v>28.3</v>
      </c>
      <c r="C241">
        <v>20</v>
      </c>
      <c r="D241">
        <v>8.1</v>
      </c>
      <c r="E241" s="3">
        <v>0</v>
      </c>
      <c r="F241" s="3">
        <v>0</v>
      </c>
      <c r="G241" s="3">
        <v>0</v>
      </c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>
        <v>21.804838709677419</v>
      </c>
      <c r="S241">
        <v>0.47073575806451606</v>
      </c>
    </row>
    <row r="242" spans="1:19" x14ac:dyDescent="0.3">
      <c r="A242">
        <v>216</v>
      </c>
      <c r="B242">
        <v>26.7</v>
      </c>
      <c r="C242">
        <v>15.6</v>
      </c>
      <c r="D242">
        <v>0</v>
      </c>
      <c r="E242" s="3">
        <v>0</v>
      </c>
      <c r="F242" s="3">
        <v>0</v>
      </c>
      <c r="G242" s="3">
        <v>0</v>
      </c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>
        <v>21.804838709677419</v>
      </c>
      <c r="S242">
        <v>0.47073575806451606</v>
      </c>
    </row>
    <row r="243" spans="1:19" x14ac:dyDescent="0.3">
      <c r="A243">
        <v>217</v>
      </c>
      <c r="B243">
        <v>22.2</v>
      </c>
      <c r="C243">
        <v>10.6</v>
      </c>
      <c r="D243">
        <v>0</v>
      </c>
      <c r="E243" s="3">
        <v>0</v>
      </c>
      <c r="F243" s="3">
        <v>0</v>
      </c>
      <c r="G243" s="3">
        <v>0</v>
      </c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>
        <v>21.804838709677419</v>
      </c>
      <c r="S243">
        <v>0.47073575806451606</v>
      </c>
    </row>
    <row r="244" spans="1:19" x14ac:dyDescent="0.3">
      <c r="A244">
        <v>218</v>
      </c>
      <c r="B244">
        <v>25</v>
      </c>
      <c r="C244">
        <v>12.8</v>
      </c>
      <c r="D244">
        <v>0</v>
      </c>
      <c r="E244" s="3">
        <v>0</v>
      </c>
      <c r="F244" s="3">
        <v>0</v>
      </c>
      <c r="G244" s="3">
        <v>0</v>
      </c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>
        <v>21.804838709677419</v>
      </c>
      <c r="S244">
        <v>0.47073575806451606</v>
      </c>
    </row>
    <row r="245" spans="1:19" x14ac:dyDescent="0.3">
      <c r="A245">
        <v>219</v>
      </c>
      <c r="B245">
        <v>27.8</v>
      </c>
      <c r="C245">
        <v>16.100000000000001</v>
      </c>
      <c r="D245">
        <v>0</v>
      </c>
      <c r="E245" s="3">
        <v>0</v>
      </c>
      <c r="F245" s="3">
        <v>0</v>
      </c>
      <c r="G245" s="3">
        <v>0</v>
      </c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>
        <v>21.804838709677419</v>
      </c>
      <c r="S245">
        <v>0.47073575806451606</v>
      </c>
    </row>
    <row r="246" spans="1:19" x14ac:dyDescent="0.3">
      <c r="A246">
        <v>220</v>
      </c>
      <c r="B246">
        <v>27.2</v>
      </c>
      <c r="C246">
        <v>17.8</v>
      </c>
      <c r="D246">
        <v>0</v>
      </c>
      <c r="E246" s="3">
        <v>0</v>
      </c>
      <c r="F246" s="3">
        <v>0</v>
      </c>
      <c r="G246" s="3">
        <v>0</v>
      </c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>
        <v>21.804838709677419</v>
      </c>
      <c r="S246">
        <v>0.47073575806451606</v>
      </c>
    </row>
    <row r="247" spans="1:19" x14ac:dyDescent="0.3">
      <c r="A247">
        <v>221</v>
      </c>
      <c r="B247">
        <v>26.1</v>
      </c>
      <c r="C247">
        <v>14.4</v>
      </c>
      <c r="D247">
        <v>0</v>
      </c>
      <c r="E247" s="3">
        <v>0</v>
      </c>
      <c r="F247" s="3">
        <v>0</v>
      </c>
      <c r="G247" s="3">
        <v>0</v>
      </c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>
        <v>21.804838709677419</v>
      </c>
      <c r="S247">
        <v>0.47073575806451606</v>
      </c>
    </row>
    <row r="248" spans="1:19" x14ac:dyDescent="0.3">
      <c r="A248">
        <v>222</v>
      </c>
      <c r="B248">
        <v>30.6</v>
      </c>
      <c r="C248">
        <v>17.2</v>
      </c>
      <c r="D248">
        <v>5.3</v>
      </c>
      <c r="E248" s="3">
        <v>0</v>
      </c>
      <c r="F248" s="3">
        <v>0</v>
      </c>
      <c r="G248" s="3">
        <v>0</v>
      </c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>
        <v>21.804838709677419</v>
      </c>
      <c r="S248">
        <v>0.47073575806451606</v>
      </c>
    </row>
    <row r="249" spans="1:19" x14ac:dyDescent="0.3">
      <c r="A249">
        <v>223</v>
      </c>
      <c r="B249">
        <v>20</v>
      </c>
      <c r="C249">
        <v>15.6</v>
      </c>
      <c r="D249">
        <v>0</v>
      </c>
      <c r="E249" s="3">
        <v>0</v>
      </c>
      <c r="F249" s="3">
        <v>0</v>
      </c>
      <c r="G249" s="3">
        <v>0</v>
      </c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>
        <v>21.804838709677419</v>
      </c>
      <c r="S249">
        <v>0.47073575806451606</v>
      </c>
    </row>
    <row r="250" spans="1:19" x14ac:dyDescent="0.3">
      <c r="A250">
        <v>224</v>
      </c>
      <c r="B250">
        <v>23.9</v>
      </c>
      <c r="C250">
        <v>17.8</v>
      </c>
      <c r="D250">
        <v>10.199999999999999</v>
      </c>
      <c r="E250" s="3">
        <v>0</v>
      </c>
      <c r="F250" s="3">
        <v>0</v>
      </c>
      <c r="G250" s="3">
        <v>0</v>
      </c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>
        <v>21.804838709677419</v>
      </c>
      <c r="S250">
        <v>0.47073575806451606</v>
      </c>
    </row>
    <row r="251" spans="1:19" x14ac:dyDescent="0.3">
      <c r="A251">
        <v>225</v>
      </c>
      <c r="B251">
        <v>27.2</v>
      </c>
      <c r="C251">
        <v>15.6</v>
      </c>
      <c r="D251">
        <v>0</v>
      </c>
      <c r="E251" s="3">
        <v>0</v>
      </c>
      <c r="F251" s="3">
        <v>0</v>
      </c>
      <c r="G251" s="3">
        <v>0</v>
      </c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>
        <v>21.804838709677419</v>
      </c>
      <c r="S251">
        <v>0.47073575806451606</v>
      </c>
    </row>
    <row r="252" spans="1:19" x14ac:dyDescent="0.3">
      <c r="A252">
        <v>226</v>
      </c>
      <c r="B252">
        <v>22.2</v>
      </c>
      <c r="C252">
        <v>10.6</v>
      </c>
      <c r="D252">
        <v>0</v>
      </c>
      <c r="E252" s="3">
        <v>0</v>
      </c>
      <c r="F252" s="3">
        <v>0</v>
      </c>
      <c r="G252" s="3">
        <v>0</v>
      </c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>
        <v>21.804838709677419</v>
      </c>
      <c r="S252">
        <v>0.47073575806451606</v>
      </c>
    </row>
    <row r="253" spans="1:19" x14ac:dyDescent="0.3">
      <c r="A253">
        <v>227</v>
      </c>
      <c r="B253">
        <v>25</v>
      </c>
      <c r="C253">
        <v>10.6</v>
      </c>
      <c r="D253">
        <v>0</v>
      </c>
      <c r="E253" s="3">
        <v>0</v>
      </c>
      <c r="F253" s="3">
        <v>0</v>
      </c>
      <c r="G253" s="3">
        <v>0</v>
      </c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>
        <v>21.804838709677419</v>
      </c>
      <c r="S253">
        <v>0.47073575806451606</v>
      </c>
    </row>
    <row r="254" spans="1:19" x14ac:dyDescent="0.3">
      <c r="A254">
        <v>228</v>
      </c>
      <c r="B254">
        <v>28.9</v>
      </c>
      <c r="C254">
        <v>13.3</v>
      </c>
      <c r="D254">
        <v>0</v>
      </c>
      <c r="E254" s="3">
        <v>0</v>
      </c>
      <c r="F254" s="3">
        <v>0</v>
      </c>
      <c r="G254" s="3">
        <v>0</v>
      </c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>
        <v>21.804838709677419</v>
      </c>
      <c r="S254">
        <v>0.47073575806451606</v>
      </c>
    </row>
    <row r="255" spans="1:19" x14ac:dyDescent="0.3">
      <c r="A255">
        <v>229</v>
      </c>
      <c r="B255">
        <v>31.7</v>
      </c>
      <c r="C255">
        <v>18.899999999999999</v>
      </c>
      <c r="D255">
        <v>0</v>
      </c>
      <c r="E255" s="3">
        <v>0</v>
      </c>
      <c r="F255" s="3">
        <v>0</v>
      </c>
      <c r="G255" s="3">
        <v>0</v>
      </c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>
        <v>21.804838709677419</v>
      </c>
      <c r="S255">
        <v>0.47073575806451606</v>
      </c>
    </row>
    <row r="256" spans="1:19" x14ac:dyDescent="0.3">
      <c r="A256">
        <v>230</v>
      </c>
      <c r="B256">
        <v>32.799999999999997</v>
      </c>
      <c r="C256">
        <v>20</v>
      </c>
      <c r="D256">
        <v>0</v>
      </c>
      <c r="E256" s="3">
        <v>0</v>
      </c>
      <c r="F256" s="3">
        <v>0</v>
      </c>
      <c r="G256" s="3">
        <v>0</v>
      </c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>
        <v>21.804838709677419</v>
      </c>
      <c r="S256">
        <v>0.47073575806451606</v>
      </c>
    </row>
    <row r="257" spans="1:19" x14ac:dyDescent="0.3">
      <c r="A257">
        <v>231</v>
      </c>
      <c r="B257">
        <v>31.7</v>
      </c>
      <c r="C257">
        <v>17.2</v>
      </c>
      <c r="D257">
        <v>0</v>
      </c>
      <c r="E257" s="3">
        <v>0</v>
      </c>
      <c r="F257" s="3">
        <v>0</v>
      </c>
      <c r="G257" s="3">
        <v>0</v>
      </c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>
        <v>21.804838709677419</v>
      </c>
      <c r="S257">
        <v>0.47073575806451606</v>
      </c>
    </row>
    <row r="258" spans="1:19" x14ac:dyDescent="0.3">
      <c r="A258">
        <v>232</v>
      </c>
      <c r="B258">
        <v>25</v>
      </c>
      <c r="C258">
        <v>15.6</v>
      </c>
      <c r="D258">
        <v>0</v>
      </c>
      <c r="E258" s="3">
        <v>0</v>
      </c>
      <c r="F258" s="3">
        <v>0</v>
      </c>
      <c r="G258" s="3">
        <v>0</v>
      </c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>
        <v>21.804838709677419</v>
      </c>
      <c r="S258">
        <v>0.47073575806451606</v>
      </c>
    </row>
    <row r="259" spans="1:19" x14ac:dyDescent="0.3">
      <c r="A259">
        <v>233</v>
      </c>
      <c r="B259">
        <v>26.1</v>
      </c>
      <c r="C259">
        <v>12.8</v>
      </c>
      <c r="D259">
        <v>0</v>
      </c>
      <c r="E259" s="3">
        <v>0</v>
      </c>
      <c r="F259" s="3">
        <v>0</v>
      </c>
      <c r="G259" s="3">
        <v>0</v>
      </c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>
        <v>21.804838709677419</v>
      </c>
      <c r="S259">
        <v>0.47073575806451606</v>
      </c>
    </row>
    <row r="260" spans="1:19" x14ac:dyDescent="0.3">
      <c r="A260">
        <v>234</v>
      </c>
      <c r="B260">
        <v>27.8</v>
      </c>
      <c r="C260">
        <v>13.3</v>
      </c>
      <c r="D260">
        <v>0</v>
      </c>
      <c r="E260" s="3">
        <v>0</v>
      </c>
      <c r="F260" s="3">
        <v>0</v>
      </c>
      <c r="G260" s="3">
        <v>0</v>
      </c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>
        <v>21.804838709677419</v>
      </c>
      <c r="S260">
        <v>0.47073575806451606</v>
      </c>
    </row>
    <row r="261" spans="1:19" x14ac:dyDescent="0.3">
      <c r="A261">
        <v>235</v>
      </c>
      <c r="B261">
        <v>31.7</v>
      </c>
      <c r="C261">
        <v>15.6</v>
      </c>
      <c r="D261">
        <v>0</v>
      </c>
      <c r="E261" s="3">
        <v>0</v>
      </c>
      <c r="F261" s="3">
        <v>0</v>
      </c>
      <c r="G261" s="3">
        <v>0</v>
      </c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>
        <v>21.804838709677419</v>
      </c>
      <c r="S261">
        <v>0.47073575806451606</v>
      </c>
    </row>
    <row r="262" spans="1:19" x14ac:dyDescent="0.3">
      <c r="A262">
        <v>236</v>
      </c>
      <c r="B262">
        <v>34.4</v>
      </c>
      <c r="C262">
        <v>17.2</v>
      </c>
      <c r="D262">
        <v>0</v>
      </c>
      <c r="E262" s="3">
        <v>0</v>
      </c>
      <c r="F262" s="3">
        <v>0</v>
      </c>
      <c r="G262" s="3">
        <v>0</v>
      </c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>
        <v>21.804838709677419</v>
      </c>
      <c r="S262">
        <v>0.47073575806451606</v>
      </c>
    </row>
    <row r="263" spans="1:19" x14ac:dyDescent="0.3">
      <c r="A263">
        <v>237</v>
      </c>
      <c r="B263">
        <v>33.9</v>
      </c>
      <c r="C263">
        <v>19.399999999999999</v>
      </c>
      <c r="D263">
        <v>19.600000000000001</v>
      </c>
      <c r="E263" s="3">
        <v>0</v>
      </c>
      <c r="F263" s="3">
        <v>0</v>
      </c>
      <c r="G263" s="3">
        <v>0</v>
      </c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>
        <v>21.804838709677419</v>
      </c>
      <c r="S263">
        <v>0.47073575806451606</v>
      </c>
    </row>
    <row r="264" spans="1:19" x14ac:dyDescent="0.3">
      <c r="A264">
        <v>238</v>
      </c>
      <c r="B264">
        <v>30.6</v>
      </c>
      <c r="C264">
        <v>18.3</v>
      </c>
      <c r="D264">
        <v>0.3</v>
      </c>
      <c r="E264" s="3">
        <v>0</v>
      </c>
      <c r="F264" s="3">
        <v>0</v>
      </c>
      <c r="G264" s="3">
        <v>0</v>
      </c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>
        <v>21.804838709677419</v>
      </c>
      <c r="S264">
        <v>0.47073575806451606</v>
      </c>
    </row>
    <row r="265" spans="1:19" x14ac:dyDescent="0.3">
      <c r="A265">
        <v>239</v>
      </c>
      <c r="B265">
        <v>33.9</v>
      </c>
      <c r="C265">
        <v>20</v>
      </c>
      <c r="D265">
        <v>0</v>
      </c>
      <c r="E265" s="3">
        <v>0</v>
      </c>
      <c r="F265" s="3">
        <v>0</v>
      </c>
      <c r="G265" s="3">
        <v>0</v>
      </c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>
        <v>21.804838709677419</v>
      </c>
      <c r="S265">
        <v>0.47073575806451606</v>
      </c>
    </row>
    <row r="266" spans="1:19" x14ac:dyDescent="0.3">
      <c r="A266">
        <v>240</v>
      </c>
      <c r="B266">
        <v>27.2</v>
      </c>
      <c r="C266">
        <v>14.4</v>
      </c>
      <c r="D266">
        <v>1.8</v>
      </c>
      <c r="E266" s="3">
        <v>0</v>
      </c>
      <c r="F266" s="3">
        <v>0</v>
      </c>
      <c r="G266" s="3">
        <v>0</v>
      </c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>
        <v>21.804838709677419</v>
      </c>
      <c r="S266">
        <v>0.47073575806451606</v>
      </c>
    </row>
    <row r="267" spans="1:19" x14ac:dyDescent="0.3">
      <c r="A267">
        <v>241</v>
      </c>
      <c r="B267">
        <v>26.7</v>
      </c>
      <c r="C267">
        <v>11.1</v>
      </c>
      <c r="D267">
        <v>0</v>
      </c>
      <c r="E267" s="3">
        <v>0</v>
      </c>
      <c r="F267" s="3">
        <v>0</v>
      </c>
      <c r="G267" s="3">
        <v>0</v>
      </c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>
        <v>21.804838709677419</v>
      </c>
      <c r="S267">
        <v>0.47073575806451606</v>
      </c>
    </row>
    <row r="268" spans="1:19" x14ac:dyDescent="0.3">
      <c r="A268">
        <v>242</v>
      </c>
      <c r="B268">
        <v>27.8</v>
      </c>
      <c r="C268">
        <v>17.2</v>
      </c>
      <c r="D268">
        <v>23.4</v>
      </c>
      <c r="E268" s="3">
        <v>0</v>
      </c>
      <c r="F268" s="3">
        <v>0</v>
      </c>
      <c r="G268" s="3">
        <v>0</v>
      </c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>
        <v>21.804838709677419</v>
      </c>
      <c r="S268">
        <v>0.47073575806451606</v>
      </c>
    </row>
    <row r="269" spans="1:19" x14ac:dyDescent="0.3">
      <c r="A269">
        <v>243</v>
      </c>
      <c r="B269">
        <v>20</v>
      </c>
      <c r="C269">
        <v>12.8</v>
      </c>
      <c r="D269">
        <v>0</v>
      </c>
      <c r="E269" s="3">
        <v>0</v>
      </c>
      <c r="F269" s="3">
        <v>0</v>
      </c>
      <c r="G269" s="3">
        <v>0</v>
      </c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>
        <v>21.804838709677419</v>
      </c>
      <c r="S269">
        <v>0.47073575806451606</v>
      </c>
    </row>
    <row r="270" spans="1:19" x14ac:dyDescent="0.3">
      <c r="A270">
        <v>244</v>
      </c>
      <c r="B270">
        <v>23.3</v>
      </c>
      <c r="C270">
        <v>11.7</v>
      </c>
      <c r="D270">
        <v>0.3</v>
      </c>
      <c r="E270" s="3">
        <v>0</v>
      </c>
      <c r="F270" s="3">
        <v>0</v>
      </c>
      <c r="G270" s="3">
        <v>0</v>
      </c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>
        <v>19.083333333333336</v>
      </c>
      <c r="S270">
        <v>0.40955833333333336</v>
      </c>
    </row>
    <row r="271" spans="1:19" x14ac:dyDescent="0.3">
      <c r="A271">
        <v>245</v>
      </c>
      <c r="B271">
        <v>22.8</v>
      </c>
      <c r="C271">
        <v>12.2</v>
      </c>
      <c r="D271">
        <v>0</v>
      </c>
      <c r="E271" s="3">
        <v>0</v>
      </c>
      <c r="F271" s="3">
        <v>0</v>
      </c>
      <c r="G271" s="3">
        <v>0</v>
      </c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>
        <v>19.083333333333336</v>
      </c>
      <c r="S271">
        <v>0.40955833333333336</v>
      </c>
    </row>
    <row r="272" spans="1:19" x14ac:dyDescent="0.3">
      <c r="A272">
        <v>246</v>
      </c>
      <c r="B272">
        <v>23.9</v>
      </c>
      <c r="C272">
        <v>15.6</v>
      </c>
      <c r="D272">
        <v>0</v>
      </c>
      <c r="E272" s="3">
        <v>0</v>
      </c>
      <c r="F272" s="3">
        <v>0</v>
      </c>
      <c r="G272" s="3">
        <v>0</v>
      </c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>
        <v>19.083333333333336</v>
      </c>
      <c r="S272">
        <v>0.40955833333333336</v>
      </c>
    </row>
    <row r="273" spans="1:19" x14ac:dyDescent="0.3">
      <c r="A273">
        <v>247</v>
      </c>
      <c r="B273">
        <v>21.1</v>
      </c>
      <c r="C273">
        <v>15</v>
      </c>
      <c r="D273">
        <v>50.3</v>
      </c>
      <c r="E273" s="3">
        <v>0</v>
      </c>
      <c r="F273" s="3">
        <v>0</v>
      </c>
      <c r="G273" s="3">
        <v>0</v>
      </c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>
        <v>19.083333333333336</v>
      </c>
      <c r="S273">
        <v>0.40955833333333336</v>
      </c>
    </row>
    <row r="274" spans="1:19" x14ac:dyDescent="0.3">
      <c r="A274">
        <v>248</v>
      </c>
      <c r="B274">
        <v>27.8</v>
      </c>
      <c r="C274">
        <v>15.6</v>
      </c>
      <c r="D274">
        <v>0</v>
      </c>
      <c r="E274" s="3">
        <v>0</v>
      </c>
      <c r="F274" s="3">
        <v>0</v>
      </c>
      <c r="G274" s="3">
        <v>0</v>
      </c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>
        <v>19.083333333333336</v>
      </c>
      <c r="S274">
        <v>0.40955833333333336</v>
      </c>
    </row>
    <row r="275" spans="1:19" x14ac:dyDescent="0.3">
      <c r="A275">
        <v>249</v>
      </c>
      <c r="B275">
        <v>26.1</v>
      </c>
      <c r="C275">
        <v>13.3</v>
      </c>
      <c r="D275">
        <v>0</v>
      </c>
      <c r="E275" s="3">
        <v>0</v>
      </c>
      <c r="F275" s="3">
        <v>0</v>
      </c>
      <c r="G275" s="3">
        <v>0</v>
      </c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>
        <v>19.083333333333336</v>
      </c>
      <c r="S275">
        <v>0.40955833333333336</v>
      </c>
    </row>
    <row r="276" spans="1:19" x14ac:dyDescent="0.3">
      <c r="A276">
        <v>250</v>
      </c>
      <c r="B276">
        <v>26.7</v>
      </c>
      <c r="C276">
        <v>12.2</v>
      </c>
      <c r="D276">
        <v>0</v>
      </c>
      <c r="E276" s="3">
        <v>0</v>
      </c>
      <c r="F276" s="3">
        <v>0</v>
      </c>
      <c r="G276" s="3">
        <v>0</v>
      </c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>
        <v>19.083333333333336</v>
      </c>
      <c r="S276">
        <v>0.40955833333333336</v>
      </c>
    </row>
    <row r="277" spans="1:19" x14ac:dyDescent="0.3">
      <c r="A277">
        <v>251</v>
      </c>
      <c r="B277">
        <v>28.3</v>
      </c>
      <c r="C277">
        <v>14.4</v>
      </c>
      <c r="D277">
        <v>1</v>
      </c>
      <c r="E277" s="3">
        <v>0</v>
      </c>
      <c r="F277" s="3">
        <v>0</v>
      </c>
      <c r="G277" s="3">
        <v>0</v>
      </c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>
        <v>19.083333333333336</v>
      </c>
      <c r="S277">
        <v>0.40955833333333336</v>
      </c>
    </row>
    <row r="278" spans="1:19" x14ac:dyDescent="0.3">
      <c r="A278">
        <v>252</v>
      </c>
      <c r="B278">
        <v>30.6</v>
      </c>
      <c r="C278">
        <v>15</v>
      </c>
      <c r="D278">
        <v>0</v>
      </c>
      <c r="E278" s="3">
        <v>0</v>
      </c>
      <c r="F278" s="3">
        <v>0</v>
      </c>
      <c r="G278" s="3">
        <v>0</v>
      </c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>
        <v>19.083333333333336</v>
      </c>
      <c r="S278">
        <v>0.40955833333333336</v>
      </c>
    </row>
    <row r="279" spans="1:19" x14ac:dyDescent="0.3">
      <c r="A279">
        <v>253</v>
      </c>
      <c r="B279">
        <v>28.9</v>
      </c>
      <c r="C279">
        <v>16.100000000000001</v>
      </c>
      <c r="D279">
        <v>0</v>
      </c>
      <c r="E279" s="3">
        <v>0</v>
      </c>
      <c r="F279" s="3">
        <v>0</v>
      </c>
      <c r="G279" s="3">
        <v>0</v>
      </c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>
        <v>19.083333333333336</v>
      </c>
      <c r="S279">
        <v>0.40955833333333336</v>
      </c>
    </row>
    <row r="280" spans="1:19" x14ac:dyDescent="0.3">
      <c r="A280">
        <v>254</v>
      </c>
      <c r="B280">
        <v>28.3</v>
      </c>
      <c r="C280">
        <v>16.100000000000001</v>
      </c>
      <c r="D280">
        <v>0</v>
      </c>
      <c r="E280" s="3">
        <v>0</v>
      </c>
      <c r="F280" s="3">
        <v>0</v>
      </c>
      <c r="G280" s="3">
        <v>0</v>
      </c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>
        <v>19.083333333333336</v>
      </c>
      <c r="S280">
        <v>0.40955833333333336</v>
      </c>
    </row>
    <row r="281" spans="1:19" x14ac:dyDescent="0.3">
      <c r="A281">
        <v>255</v>
      </c>
      <c r="B281">
        <v>30</v>
      </c>
      <c r="C281">
        <v>17.2</v>
      </c>
      <c r="D281">
        <v>0</v>
      </c>
      <c r="E281" s="3">
        <v>0</v>
      </c>
      <c r="F281" s="3">
        <v>0</v>
      </c>
      <c r="G281" s="3">
        <v>0</v>
      </c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>
        <v>19.083333333333336</v>
      </c>
      <c r="S281">
        <v>0.40955833333333336</v>
      </c>
    </row>
    <row r="282" spans="1:19" x14ac:dyDescent="0.3">
      <c r="A282">
        <v>256</v>
      </c>
      <c r="B282">
        <v>31.7</v>
      </c>
      <c r="C282">
        <v>19.399999999999999</v>
      </c>
      <c r="D282">
        <v>0</v>
      </c>
      <c r="E282" s="3">
        <v>0</v>
      </c>
      <c r="F282" s="3">
        <v>0</v>
      </c>
      <c r="G282" s="3">
        <v>0</v>
      </c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>
        <v>19.083333333333336</v>
      </c>
      <c r="S282">
        <v>0.40955833333333336</v>
      </c>
    </row>
    <row r="283" spans="1:19" x14ac:dyDescent="0.3">
      <c r="A283">
        <v>257</v>
      </c>
      <c r="B283">
        <v>32.799999999999997</v>
      </c>
      <c r="C283">
        <v>22.2</v>
      </c>
      <c r="D283">
        <v>0</v>
      </c>
      <c r="E283" s="3">
        <v>0</v>
      </c>
      <c r="F283" s="3">
        <v>0</v>
      </c>
      <c r="G283" s="3">
        <v>0</v>
      </c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>
        <v>19.083333333333336</v>
      </c>
      <c r="S283">
        <v>0.40955833333333336</v>
      </c>
    </row>
    <row r="284" spans="1:19" x14ac:dyDescent="0.3">
      <c r="A284">
        <v>258</v>
      </c>
      <c r="B284">
        <v>28.9</v>
      </c>
      <c r="C284">
        <v>19.399999999999999</v>
      </c>
      <c r="D284">
        <v>0</v>
      </c>
      <c r="E284" s="3">
        <v>0</v>
      </c>
      <c r="F284" s="3">
        <v>0</v>
      </c>
      <c r="G284" s="3">
        <v>0</v>
      </c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>
        <v>19.083333333333336</v>
      </c>
      <c r="S284">
        <v>0.40955833333333336</v>
      </c>
    </row>
    <row r="285" spans="1:19" x14ac:dyDescent="0.3">
      <c r="A285">
        <v>259</v>
      </c>
      <c r="B285">
        <v>25.6</v>
      </c>
      <c r="C285">
        <v>13.9</v>
      </c>
      <c r="D285">
        <v>0</v>
      </c>
      <c r="E285" s="3">
        <v>0</v>
      </c>
      <c r="F285" s="3">
        <v>0</v>
      </c>
      <c r="G285" s="3">
        <v>0</v>
      </c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>
        <v>19.083333333333336</v>
      </c>
      <c r="S285">
        <v>0.40955833333333336</v>
      </c>
    </row>
    <row r="286" spans="1:19" x14ac:dyDescent="0.3">
      <c r="A286">
        <v>260</v>
      </c>
      <c r="B286">
        <v>25</v>
      </c>
      <c r="C286">
        <v>11.7</v>
      </c>
      <c r="D286">
        <v>0</v>
      </c>
      <c r="E286" s="3">
        <v>0</v>
      </c>
      <c r="F286" s="3">
        <v>0</v>
      </c>
      <c r="G286" s="3">
        <v>0</v>
      </c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>
        <v>19.083333333333336</v>
      </c>
      <c r="S286">
        <v>0.40955833333333336</v>
      </c>
    </row>
    <row r="287" spans="1:19" x14ac:dyDescent="0.3">
      <c r="A287">
        <v>261</v>
      </c>
      <c r="B287">
        <v>27.8</v>
      </c>
      <c r="C287">
        <v>10.6</v>
      </c>
      <c r="D287">
        <v>0</v>
      </c>
      <c r="E287" s="3">
        <v>0</v>
      </c>
      <c r="F287" s="3">
        <v>0</v>
      </c>
      <c r="G287" s="3">
        <v>0</v>
      </c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>
        <v>19.083333333333336</v>
      </c>
      <c r="S287">
        <v>0.40955833333333336</v>
      </c>
    </row>
    <row r="288" spans="1:19" x14ac:dyDescent="0.3">
      <c r="A288">
        <v>262</v>
      </c>
      <c r="B288">
        <v>28.3</v>
      </c>
      <c r="C288">
        <v>12.2</v>
      </c>
      <c r="D288">
        <v>0</v>
      </c>
      <c r="E288" s="3">
        <v>0</v>
      </c>
      <c r="F288" s="3">
        <v>0</v>
      </c>
      <c r="G288" s="3">
        <v>0</v>
      </c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>
        <v>19.083333333333336</v>
      </c>
      <c r="S288">
        <v>0.40955833333333336</v>
      </c>
    </row>
    <row r="289" spans="1:19" x14ac:dyDescent="0.3">
      <c r="A289">
        <v>263</v>
      </c>
      <c r="B289">
        <v>28.9</v>
      </c>
      <c r="C289">
        <v>13.9</v>
      </c>
      <c r="D289">
        <v>0</v>
      </c>
      <c r="E289" s="3">
        <v>0</v>
      </c>
      <c r="F289" s="3">
        <v>0</v>
      </c>
      <c r="G289" s="3">
        <v>0</v>
      </c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>
        <v>19.083333333333336</v>
      </c>
      <c r="S289">
        <v>0.40955833333333336</v>
      </c>
    </row>
    <row r="290" spans="1:19" x14ac:dyDescent="0.3">
      <c r="A290">
        <v>264</v>
      </c>
      <c r="B290">
        <v>30</v>
      </c>
      <c r="C290">
        <v>15</v>
      </c>
      <c r="D290">
        <v>1</v>
      </c>
      <c r="E290" s="3">
        <v>0</v>
      </c>
      <c r="F290" s="3">
        <v>0</v>
      </c>
      <c r="G290" s="3">
        <v>0</v>
      </c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>
        <v>19.083333333333336</v>
      </c>
      <c r="S290">
        <v>0.40955833333333336</v>
      </c>
    </row>
    <row r="291" spans="1:19" x14ac:dyDescent="0.3">
      <c r="A291">
        <v>265</v>
      </c>
      <c r="B291">
        <v>15</v>
      </c>
      <c r="C291">
        <v>7.8</v>
      </c>
      <c r="D291">
        <v>4.0999999999999996</v>
      </c>
      <c r="E291" s="3">
        <v>0</v>
      </c>
      <c r="F291" s="3">
        <v>0</v>
      </c>
      <c r="G291" s="3">
        <v>0</v>
      </c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>
        <v>19.083333333333336</v>
      </c>
      <c r="S291">
        <v>0.40955833333333336</v>
      </c>
    </row>
    <row r="292" spans="1:19" x14ac:dyDescent="0.3">
      <c r="A292">
        <v>266</v>
      </c>
      <c r="B292">
        <v>16.100000000000001</v>
      </c>
      <c r="C292">
        <v>6.7</v>
      </c>
      <c r="D292">
        <v>0</v>
      </c>
      <c r="E292" s="3">
        <v>0</v>
      </c>
      <c r="F292" s="3">
        <v>0</v>
      </c>
      <c r="G292" s="3">
        <v>0</v>
      </c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>
        <v>19.083333333333336</v>
      </c>
      <c r="S292">
        <v>0.40955833333333336</v>
      </c>
    </row>
    <row r="293" spans="1:19" x14ac:dyDescent="0.3">
      <c r="A293">
        <v>267</v>
      </c>
      <c r="B293">
        <v>15.6</v>
      </c>
      <c r="C293">
        <v>7.8</v>
      </c>
      <c r="D293">
        <v>10.9</v>
      </c>
      <c r="E293" s="3">
        <v>0</v>
      </c>
      <c r="F293" s="3">
        <v>0</v>
      </c>
      <c r="G293" s="3">
        <v>0</v>
      </c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>
        <v>19.083333333333336</v>
      </c>
      <c r="S293">
        <v>0.40955833333333336</v>
      </c>
    </row>
    <row r="294" spans="1:19" x14ac:dyDescent="0.3">
      <c r="A294">
        <v>268</v>
      </c>
      <c r="B294">
        <v>21.1</v>
      </c>
      <c r="C294">
        <v>13.3</v>
      </c>
      <c r="D294">
        <v>11.4</v>
      </c>
      <c r="E294" s="3">
        <v>0</v>
      </c>
      <c r="F294" s="3">
        <v>0</v>
      </c>
      <c r="G294" s="3">
        <v>0</v>
      </c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>
        <v>19.083333333333336</v>
      </c>
      <c r="S294">
        <v>0.40955833333333336</v>
      </c>
    </row>
    <row r="295" spans="1:19" x14ac:dyDescent="0.3">
      <c r="A295">
        <v>269</v>
      </c>
      <c r="B295">
        <v>13.3</v>
      </c>
      <c r="C295">
        <v>6.1</v>
      </c>
      <c r="D295">
        <v>0</v>
      </c>
      <c r="E295" s="3">
        <v>0</v>
      </c>
      <c r="F295" s="3">
        <v>0</v>
      </c>
      <c r="G295" s="3">
        <v>0</v>
      </c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>
        <v>19.083333333333336</v>
      </c>
      <c r="S295">
        <v>0.40955833333333336</v>
      </c>
    </row>
    <row r="296" spans="1:19" x14ac:dyDescent="0.3">
      <c r="A296">
        <v>270</v>
      </c>
      <c r="B296">
        <v>20.6</v>
      </c>
      <c r="C296">
        <v>3.3</v>
      </c>
      <c r="D296">
        <v>0</v>
      </c>
      <c r="E296" s="3">
        <v>0</v>
      </c>
      <c r="F296" s="3">
        <v>0</v>
      </c>
      <c r="G296" s="3">
        <v>0</v>
      </c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>
        <v>19.083333333333336</v>
      </c>
      <c r="S296">
        <v>0.40955833333333336</v>
      </c>
    </row>
    <row r="297" spans="1:19" x14ac:dyDescent="0.3">
      <c r="A297">
        <v>271</v>
      </c>
      <c r="B297">
        <v>22.2</v>
      </c>
      <c r="C297">
        <v>8.3000000000000007</v>
      </c>
      <c r="D297">
        <v>0</v>
      </c>
      <c r="E297" s="3">
        <v>0</v>
      </c>
      <c r="F297" s="3">
        <v>0</v>
      </c>
      <c r="G297" s="3">
        <v>0</v>
      </c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>
        <v>19.083333333333336</v>
      </c>
      <c r="S297">
        <v>0.40955833333333336</v>
      </c>
    </row>
    <row r="298" spans="1:19" x14ac:dyDescent="0.3">
      <c r="A298">
        <v>272</v>
      </c>
      <c r="B298">
        <v>25.6</v>
      </c>
      <c r="C298">
        <v>7.2</v>
      </c>
      <c r="D298">
        <v>0</v>
      </c>
      <c r="E298" s="3">
        <v>0</v>
      </c>
      <c r="F298" s="3">
        <v>0</v>
      </c>
      <c r="G298" s="3">
        <v>0</v>
      </c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>
        <v>19.083333333333336</v>
      </c>
      <c r="S298">
        <v>0.40955833333333336</v>
      </c>
    </row>
    <row r="299" spans="1:19" x14ac:dyDescent="0.3">
      <c r="A299">
        <v>273</v>
      </c>
      <c r="B299">
        <v>32.200000000000003</v>
      </c>
      <c r="C299">
        <v>13.3</v>
      </c>
      <c r="D299">
        <v>0</v>
      </c>
      <c r="E299" s="3">
        <v>0</v>
      </c>
      <c r="F299" s="3">
        <v>0</v>
      </c>
      <c r="G299" s="3">
        <v>0</v>
      </c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>
        <v>19.083333333333336</v>
      </c>
      <c r="S299">
        <v>0.40955833333333336</v>
      </c>
    </row>
    <row r="300" spans="1:19" x14ac:dyDescent="0.3">
      <c r="A300">
        <v>274</v>
      </c>
      <c r="B300">
        <v>22.8</v>
      </c>
      <c r="C300">
        <v>13.9</v>
      </c>
      <c r="D300">
        <v>0</v>
      </c>
      <c r="E300" s="3">
        <v>0</v>
      </c>
      <c r="F300" s="3">
        <v>0</v>
      </c>
      <c r="G300" s="3">
        <v>0</v>
      </c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>
        <v>13.019354838709676</v>
      </c>
      <c r="S300">
        <v>0.29991318709677423</v>
      </c>
    </row>
    <row r="301" spans="1:19" x14ac:dyDescent="0.3">
      <c r="A301">
        <v>275</v>
      </c>
      <c r="B301">
        <v>21.7</v>
      </c>
      <c r="C301">
        <v>11.7</v>
      </c>
      <c r="D301">
        <v>1.3</v>
      </c>
      <c r="E301" s="3">
        <v>0</v>
      </c>
      <c r="F301" s="3">
        <v>0</v>
      </c>
      <c r="G301" s="3">
        <v>0</v>
      </c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>
        <v>13.019354838709676</v>
      </c>
      <c r="S301">
        <v>0.29991318709677423</v>
      </c>
    </row>
    <row r="302" spans="1:19" x14ac:dyDescent="0.3">
      <c r="A302">
        <v>276</v>
      </c>
      <c r="B302">
        <v>18.3</v>
      </c>
      <c r="C302">
        <v>10.6</v>
      </c>
      <c r="D302">
        <v>2.2999999999999998</v>
      </c>
      <c r="E302" s="3">
        <v>0</v>
      </c>
      <c r="F302" s="3">
        <v>0</v>
      </c>
      <c r="G302" s="3">
        <v>0</v>
      </c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>
        <v>13.019354838709676</v>
      </c>
      <c r="S302">
        <v>0.29991318709677423</v>
      </c>
    </row>
    <row r="303" spans="1:19" x14ac:dyDescent="0.3">
      <c r="A303">
        <v>277</v>
      </c>
      <c r="B303">
        <v>20</v>
      </c>
      <c r="C303">
        <v>10.6</v>
      </c>
      <c r="D303">
        <v>0</v>
      </c>
      <c r="E303" s="3">
        <v>0</v>
      </c>
      <c r="F303" s="3">
        <v>0</v>
      </c>
      <c r="G303" s="3">
        <v>0</v>
      </c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>
        <v>13.019354838709676</v>
      </c>
      <c r="S303">
        <v>0.29991318709677423</v>
      </c>
    </row>
    <row r="304" spans="1:19" x14ac:dyDescent="0.3">
      <c r="A304">
        <v>278</v>
      </c>
      <c r="B304">
        <v>22.2</v>
      </c>
      <c r="C304">
        <v>10.6</v>
      </c>
      <c r="D304">
        <v>0</v>
      </c>
      <c r="E304" s="3">
        <v>0</v>
      </c>
      <c r="F304" s="3">
        <v>0</v>
      </c>
      <c r="G304" s="3">
        <v>0</v>
      </c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>
        <v>13.019354838709676</v>
      </c>
      <c r="S304">
        <v>0.29991318709677423</v>
      </c>
    </row>
    <row r="305" spans="1:19" x14ac:dyDescent="0.3">
      <c r="A305">
        <v>279</v>
      </c>
      <c r="B305">
        <v>26.7</v>
      </c>
      <c r="C305">
        <v>13.3</v>
      </c>
      <c r="D305">
        <v>5.8</v>
      </c>
      <c r="E305" s="3">
        <v>0</v>
      </c>
      <c r="F305" s="3">
        <v>0</v>
      </c>
      <c r="G305" s="3">
        <v>0</v>
      </c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>
        <v>13.019354838709676</v>
      </c>
      <c r="S305">
        <v>0.29991318709677423</v>
      </c>
    </row>
    <row r="306" spans="1:19" x14ac:dyDescent="0.3">
      <c r="A306">
        <v>280</v>
      </c>
      <c r="B306">
        <v>18.3</v>
      </c>
      <c r="C306">
        <v>12.2</v>
      </c>
      <c r="D306">
        <v>0</v>
      </c>
      <c r="E306" s="3">
        <v>0</v>
      </c>
      <c r="F306" s="3">
        <v>0</v>
      </c>
      <c r="G306" s="3">
        <v>0</v>
      </c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>
        <v>13.019354838709676</v>
      </c>
      <c r="S306">
        <v>0.29991318709677423</v>
      </c>
    </row>
    <row r="307" spans="1:19" x14ac:dyDescent="0.3">
      <c r="A307">
        <v>281</v>
      </c>
      <c r="B307">
        <v>16.7</v>
      </c>
      <c r="C307">
        <v>8.3000000000000007</v>
      </c>
      <c r="D307">
        <v>0</v>
      </c>
      <c r="E307" s="3">
        <v>0</v>
      </c>
      <c r="F307" s="3">
        <v>0</v>
      </c>
      <c r="G307" s="3">
        <v>0</v>
      </c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>
        <v>13.019354838709676</v>
      </c>
      <c r="S307">
        <v>0.29991318709677423</v>
      </c>
    </row>
    <row r="308" spans="1:19" x14ac:dyDescent="0.3">
      <c r="A308">
        <v>282</v>
      </c>
      <c r="B308">
        <v>16.7</v>
      </c>
      <c r="C308">
        <v>4.4000000000000004</v>
      </c>
      <c r="D308">
        <v>0</v>
      </c>
      <c r="E308" s="3">
        <v>0</v>
      </c>
      <c r="F308" s="3">
        <v>0</v>
      </c>
      <c r="G308" s="3">
        <v>0</v>
      </c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>
        <v>13.019354838709676</v>
      </c>
      <c r="S308">
        <v>0.29991318709677423</v>
      </c>
    </row>
    <row r="309" spans="1:19" x14ac:dyDescent="0.3">
      <c r="A309">
        <v>283</v>
      </c>
      <c r="B309">
        <v>18.3</v>
      </c>
      <c r="C309">
        <v>2.8</v>
      </c>
      <c r="D309">
        <v>0</v>
      </c>
      <c r="E309" s="3">
        <v>0</v>
      </c>
      <c r="F309" s="3">
        <v>0</v>
      </c>
      <c r="G309" s="3">
        <v>0</v>
      </c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>
        <v>13.019354838709676</v>
      </c>
      <c r="S309">
        <v>0.29991318709677423</v>
      </c>
    </row>
    <row r="310" spans="1:19" x14ac:dyDescent="0.3">
      <c r="A310">
        <v>284</v>
      </c>
      <c r="B310">
        <v>18.3</v>
      </c>
      <c r="C310">
        <v>3.9</v>
      </c>
      <c r="D310">
        <v>0</v>
      </c>
      <c r="E310" s="3">
        <v>0</v>
      </c>
      <c r="F310" s="3">
        <v>0</v>
      </c>
      <c r="G310" s="3">
        <v>0</v>
      </c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>
        <v>13.019354838709676</v>
      </c>
      <c r="S310">
        <v>0.29991318709677423</v>
      </c>
    </row>
    <row r="311" spans="1:19" x14ac:dyDescent="0.3">
      <c r="A311">
        <v>285</v>
      </c>
      <c r="B311">
        <v>21.1</v>
      </c>
      <c r="C311">
        <v>3.9</v>
      </c>
      <c r="D311">
        <v>0</v>
      </c>
      <c r="E311" s="3">
        <v>0</v>
      </c>
      <c r="F311" s="3">
        <v>0</v>
      </c>
      <c r="G311" s="3">
        <v>0</v>
      </c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>
        <v>13.019354838709676</v>
      </c>
      <c r="S311">
        <v>0.29991318709677423</v>
      </c>
    </row>
    <row r="312" spans="1:19" x14ac:dyDescent="0.3">
      <c r="A312">
        <v>286</v>
      </c>
      <c r="B312">
        <v>20.6</v>
      </c>
      <c r="C312">
        <v>7.8</v>
      </c>
      <c r="D312">
        <v>0</v>
      </c>
      <c r="E312" s="3">
        <v>0</v>
      </c>
      <c r="F312" s="3">
        <v>0</v>
      </c>
      <c r="G312" s="3">
        <v>0</v>
      </c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>
        <v>13.019354838709676</v>
      </c>
      <c r="S312">
        <v>0.29991318709677423</v>
      </c>
    </row>
    <row r="313" spans="1:19" x14ac:dyDescent="0.3">
      <c r="A313">
        <v>287</v>
      </c>
      <c r="B313">
        <v>19.399999999999999</v>
      </c>
      <c r="C313">
        <v>4.4000000000000004</v>
      </c>
      <c r="D313">
        <v>0</v>
      </c>
      <c r="E313" s="3">
        <v>0</v>
      </c>
      <c r="F313" s="3">
        <v>0</v>
      </c>
      <c r="G313" s="3">
        <v>0</v>
      </c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>
        <v>13.019354838709676</v>
      </c>
      <c r="S313">
        <v>0.29991318709677423</v>
      </c>
    </row>
    <row r="314" spans="1:19" x14ac:dyDescent="0.3">
      <c r="A314">
        <v>288</v>
      </c>
      <c r="B314">
        <v>16.7</v>
      </c>
      <c r="C314">
        <v>13.9</v>
      </c>
      <c r="D314">
        <v>2</v>
      </c>
      <c r="E314" s="3">
        <v>0</v>
      </c>
      <c r="F314" s="3">
        <v>0</v>
      </c>
      <c r="G314" s="3">
        <v>0</v>
      </c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>
        <v>13.019354838709676</v>
      </c>
      <c r="S314">
        <v>0.29991318709677423</v>
      </c>
    </row>
    <row r="315" spans="1:19" x14ac:dyDescent="0.3">
      <c r="A315">
        <v>289</v>
      </c>
      <c r="B315">
        <v>18.899999999999999</v>
      </c>
      <c r="C315">
        <v>15.6</v>
      </c>
      <c r="D315">
        <v>4.8</v>
      </c>
      <c r="E315" s="3">
        <v>0</v>
      </c>
      <c r="F315" s="3">
        <v>0</v>
      </c>
      <c r="G315" s="3">
        <v>0</v>
      </c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>
        <v>13.019354838709676</v>
      </c>
      <c r="S315">
        <v>0.29991318709677423</v>
      </c>
    </row>
    <row r="316" spans="1:19" x14ac:dyDescent="0.3">
      <c r="A316">
        <v>290</v>
      </c>
      <c r="B316">
        <v>20</v>
      </c>
      <c r="C316">
        <v>17.8</v>
      </c>
      <c r="D316">
        <v>9.1</v>
      </c>
      <c r="E316" s="3">
        <v>0</v>
      </c>
      <c r="F316" s="3">
        <v>0</v>
      </c>
      <c r="G316" s="3">
        <v>0</v>
      </c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>
        <v>13.019354838709676</v>
      </c>
      <c r="S316">
        <v>0.29991318709677423</v>
      </c>
    </row>
    <row r="317" spans="1:19" x14ac:dyDescent="0.3">
      <c r="A317">
        <v>291</v>
      </c>
      <c r="B317">
        <v>21.7</v>
      </c>
      <c r="C317">
        <v>11.1</v>
      </c>
      <c r="D317">
        <v>0</v>
      </c>
      <c r="E317" s="3">
        <v>0</v>
      </c>
      <c r="F317" s="3">
        <v>0</v>
      </c>
      <c r="G317" s="3">
        <v>0</v>
      </c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>
        <v>13.019354838709676</v>
      </c>
      <c r="S317">
        <v>0.29991318709677423</v>
      </c>
    </row>
    <row r="318" spans="1:19" x14ac:dyDescent="0.3">
      <c r="A318">
        <v>292</v>
      </c>
      <c r="B318">
        <v>19.399999999999999</v>
      </c>
      <c r="C318">
        <v>8.9</v>
      </c>
      <c r="D318">
        <v>0</v>
      </c>
      <c r="E318" s="3">
        <v>0</v>
      </c>
      <c r="F318" s="3">
        <v>0</v>
      </c>
      <c r="G318" s="3">
        <v>0</v>
      </c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>
        <v>13.019354838709676</v>
      </c>
      <c r="S318">
        <v>0.29991318709677423</v>
      </c>
    </row>
    <row r="319" spans="1:19" x14ac:dyDescent="0.3">
      <c r="A319">
        <v>293</v>
      </c>
      <c r="B319">
        <v>22.8</v>
      </c>
      <c r="C319">
        <v>6.1</v>
      </c>
      <c r="D319">
        <v>0</v>
      </c>
      <c r="E319" s="3">
        <v>0</v>
      </c>
      <c r="F319" s="3">
        <v>0</v>
      </c>
      <c r="G319" s="3">
        <v>0</v>
      </c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>
        <v>13.019354838709676</v>
      </c>
      <c r="S319">
        <v>0.29991318709677423</v>
      </c>
    </row>
    <row r="320" spans="1:19" x14ac:dyDescent="0.3">
      <c r="A320">
        <v>294</v>
      </c>
      <c r="B320">
        <v>23.9</v>
      </c>
      <c r="C320">
        <v>8.9</v>
      </c>
      <c r="D320">
        <v>0</v>
      </c>
      <c r="E320" s="3">
        <v>0</v>
      </c>
      <c r="F320" s="3">
        <v>0</v>
      </c>
      <c r="G320" s="3">
        <v>0</v>
      </c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>
        <v>13.019354838709676</v>
      </c>
      <c r="S320">
        <v>0.29991318709677423</v>
      </c>
    </row>
    <row r="321" spans="1:19" x14ac:dyDescent="0.3">
      <c r="A321">
        <v>295</v>
      </c>
      <c r="B321">
        <v>19.399999999999999</v>
      </c>
      <c r="C321">
        <v>7.8</v>
      </c>
      <c r="D321">
        <v>0</v>
      </c>
      <c r="E321" s="3">
        <v>0</v>
      </c>
      <c r="F321" s="3">
        <v>0</v>
      </c>
      <c r="G321" s="3">
        <v>0</v>
      </c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>
        <v>13.019354838709676</v>
      </c>
      <c r="S321">
        <v>0.29991318709677423</v>
      </c>
    </row>
    <row r="322" spans="1:19" x14ac:dyDescent="0.3">
      <c r="A322">
        <v>296</v>
      </c>
      <c r="B322">
        <v>15</v>
      </c>
      <c r="C322">
        <v>6.1</v>
      </c>
      <c r="D322">
        <v>0</v>
      </c>
      <c r="E322" s="3">
        <v>0</v>
      </c>
      <c r="F322" s="3">
        <v>0</v>
      </c>
      <c r="G322" s="3">
        <v>0</v>
      </c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>
        <v>13.019354838709676</v>
      </c>
      <c r="S322">
        <v>0.29991318709677423</v>
      </c>
    </row>
    <row r="323" spans="1:19" x14ac:dyDescent="0.3">
      <c r="A323">
        <v>297</v>
      </c>
      <c r="B323">
        <v>10</v>
      </c>
      <c r="C323">
        <v>3.3</v>
      </c>
      <c r="D323">
        <v>0</v>
      </c>
      <c r="E323" s="3">
        <v>0</v>
      </c>
      <c r="F323" s="3">
        <v>0</v>
      </c>
      <c r="G323" s="3">
        <v>0</v>
      </c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>
        <v>13.019354838709676</v>
      </c>
      <c r="S323">
        <v>0.29991318709677423</v>
      </c>
    </row>
    <row r="324" spans="1:19" x14ac:dyDescent="0.3">
      <c r="A324">
        <v>298</v>
      </c>
      <c r="B324">
        <v>10</v>
      </c>
      <c r="C324">
        <v>-0.6</v>
      </c>
      <c r="D324">
        <v>0</v>
      </c>
      <c r="E324" s="3">
        <v>0</v>
      </c>
      <c r="F324" s="3">
        <v>0</v>
      </c>
      <c r="G324" s="3">
        <v>0</v>
      </c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>
        <v>13.019354838709676</v>
      </c>
      <c r="S324">
        <v>0.29991318709677423</v>
      </c>
    </row>
    <row r="325" spans="1:19" x14ac:dyDescent="0.3">
      <c r="A325">
        <v>299</v>
      </c>
      <c r="B325">
        <v>14.4</v>
      </c>
      <c r="C325">
        <v>-3.3</v>
      </c>
      <c r="D325">
        <v>0</v>
      </c>
      <c r="E325" s="3">
        <v>0</v>
      </c>
      <c r="F325" s="3">
        <v>0</v>
      </c>
      <c r="G325" s="3">
        <v>0</v>
      </c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>
        <v>13.019354838709676</v>
      </c>
      <c r="S325">
        <v>0.29991318709677423</v>
      </c>
    </row>
    <row r="326" spans="1:19" x14ac:dyDescent="0.3">
      <c r="A326">
        <v>300</v>
      </c>
      <c r="B326">
        <v>20</v>
      </c>
      <c r="C326">
        <v>3.9</v>
      </c>
      <c r="D326">
        <v>0</v>
      </c>
      <c r="E326" s="3">
        <v>0</v>
      </c>
      <c r="F326" s="3">
        <v>0</v>
      </c>
      <c r="G326" s="3">
        <v>0</v>
      </c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>
        <v>13.019354838709676</v>
      </c>
      <c r="S326">
        <v>0.29991318709677423</v>
      </c>
    </row>
    <row r="327" spans="1:19" x14ac:dyDescent="0.3">
      <c r="A327">
        <v>301</v>
      </c>
      <c r="B327">
        <v>20</v>
      </c>
      <c r="C327">
        <v>10.6</v>
      </c>
      <c r="D327">
        <v>0</v>
      </c>
      <c r="E327" s="3">
        <v>0</v>
      </c>
      <c r="F327" s="3">
        <v>0</v>
      </c>
      <c r="G327" s="3">
        <v>0</v>
      </c>
      <c r="R327">
        <v>13.019354838709676</v>
      </c>
      <c r="S327">
        <v>0.29991318709677423</v>
      </c>
    </row>
    <row r="328" spans="1:19" x14ac:dyDescent="0.3">
      <c r="A328">
        <v>302</v>
      </c>
      <c r="B328">
        <v>17.2</v>
      </c>
      <c r="C328">
        <v>4.4000000000000004</v>
      </c>
      <c r="D328">
        <v>0</v>
      </c>
      <c r="E328" s="3">
        <v>0</v>
      </c>
      <c r="F328" s="3">
        <v>0</v>
      </c>
      <c r="G328" s="3">
        <v>0</v>
      </c>
      <c r="R328">
        <v>13.019354838709676</v>
      </c>
      <c r="S328">
        <v>0.29991318709677423</v>
      </c>
    </row>
    <row r="329" spans="1:19" x14ac:dyDescent="0.3">
      <c r="A329">
        <v>303</v>
      </c>
      <c r="B329">
        <v>11.1</v>
      </c>
      <c r="C329">
        <v>0</v>
      </c>
      <c r="D329">
        <v>0.5</v>
      </c>
      <c r="E329" s="3">
        <v>0</v>
      </c>
      <c r="F329" s="3">
        <v>0</v>
      </c>
      <c r="G329" s="3">
        <v>0</v>
      </c>
      <c r="R329">
        <v>13.019354838709676</v>
      </c>
      <c r="S329">
        <v>0.29991318709677423</v>
      </c>
    </row>
    <row r="330" spans="1:19" x14ac:dyDescent="0.3">
      <c r="A330">
        <v>304</v>
      </c>
      <c r="B330">
        <v>13.3</v>
      </c>
      <c r="C330">
        <v>-0.6</v>
      </c>
      <c r="D330">
        <v>0</v>
      </c>
      <c r="E330" s="3">
        <v>0</v>
      </c>
      <c r="F330" s="3">
        <v>0</v>
      </c>
      <c r="G330" s="3">
        <v>0</v>
      </c>
      <c r="R330">
        <v>13.019354838709676</v>
      </c>
      <c r="S330">
        <v>0.29991318709677423</v>
      </c>
    </row>
    <row r="331" spans="1:19" x14ac:dyDescent="0.3">
      <c r="A331">
        <v>305</v>
      </c>
      <c r="B331">
        <v>13.9</v>
      </c>
      <c r="C331">
        <v>-2.2000000000000002</v>
      </c>
      <c r="D331">
        <v>0</v>
      </c>
      <c r="E331" s="3">
        <v>0</v>
      </c>
      <c r="F331" s="3">
        <v>0</v>
      </c>
      <c r="G331" s="3">
        <v>0</v>
      </c>
      <c r="R331">
        <v>5.5749999999999993</v>
      </c>
      <c r="S331">
        <v>0.21109439999999996</v>
      </c>
    </row>
    <row r="332" spans="1:19" x14ac:dyDescent="0.3">
      <c r="A332">
        <v>306</v>
      </c>
      <c r="B332">
        <v>17.8</v>
      </c>
      <c r="C332">
        <v>8.3000000000000007</v>
      </c>
      <c r="D332">
        <v>0</v>
      </c>
      <c r="E332" s="3">
        <v>0</v>
      </c>
      <c r="F332" s="3">
        <v>0</v>
      </c>
      <c r="G332" s="3">
        <v>0</v>
      </c>
      <c r="R332">
        <v>5.5749999999999993</v>
      </c>
      <c r="S332">
        <v>0.21109439999999996</v>
      </c>
    </row>
    <row r="333" spans="1:19" x14ac:dyDescent="0.3">
      <c r="A333">
        <v>307</v>
      </c>
      <c r="B333">
        <v>13.3</v>
      </c>
      <c r="C333">
        <v>6.7</v>
      </c>
      <c r="D333">
        <v>0</v>
      </c>
      <c r="E333" s="3">
        <v>0</v>
      </c>
      <c r="F333" s="3">
        <v>0</v>
      </c>
      <c r="G333" s="3">
        <v>0</v>
      </c>
      <c r="R333">
        <v>5.5749999999999993</v>
      </c>
      <c r="S333">
        <v>0.21109439999999996</v>
      </c>
    </row>
    <row r="334" spans="1:19" x14ac:dyDescent="0.3">
      <c r="A334">
        <v>308</v>
      </c>
      <c r="B334">
        <v>7.8</v>
      </c>
      <c r="C334">
        <v>4.4000000000000004</v>
      </c>
      <c r="D334">
        <v>2.2999999999999998</v>
      </c>
      <c r="E334" s="3">
        <v>0</v>
      </c>
      <c r="F334" s="3">
        <v>0</v>
      </c>
      <c r="G334" s="3">
        <v>0</v>
      </c>
      <c r="R334">
        <v>5.5749999999999993</v>
      </c>
      <c r="S334">
        <v>0.21109439999999996</v>
      </c>
    </row>
    <row r="335" spans="1:19" x14ac:dyDescent="0.3">
      <c r="A335">
        <v>309</v>
      </c>
      <c r="B335">
        <v>10</v>
      </c>
      <c r="C335">
        <v>2.8</v>
      </c>
      <c r="D335">
        <v>0</v>
      </c>
      <c r="E335" s="3">
        <v>0</v>
      </c>
      <c r="F335" s="3">
        <v>0</v>
      </c>
      <c r="G335" s="3">
        <v>0</v>
      </c>
      <c r="R335">
        <v>5.5749999999999993</v>
      </c>
      <c r="S335">
        <v>0.21109439999999996</v>
      </c>
    </row>
    <row r="336" spans="1:19" x14ac:dyDescent="0.3">
      <c r="A336">
        <v>310</v>
      </c>
      <c r="B336">
        <v>14.4</v>
      </c>
      <c r="C336">
        <v>0</v>
      </c>
      <c r="D336">
        <v>0</v>
      </c>
      <c r="E336" s="3">
        <v>0</v>
      </c>
      <c r="F336" s="3">
        <v>0</v>
      </c>
      <c r="G336" s="3">
        <v>0</v>
      </c>
      <c r="R336">
        <v>5.5749999999999993</v>
      </c>
      <c r="S336">
        <v>0.21109439999999996</v>
      </c>
    </row>
    <row r="337" spans="1:19" x14ac:dyDescent="0.3">
      <c r="A337">
        <v>311</v>
      </c>
      <c r="B337">
        <v>20</v>
      </c>
      <c r="C337">
        <v>5</v>
      </c>
      <c r="D337">
        <v>0</v>
      </c>
      <c r="E337" s="3">
        <v>0</v>
      </c>
      <c r="F337" s="3">
        <v>0</v>
      </c>
      <c r="G337" s="3">
        <v>0</v>
      </c>
      <c r="R337">
        <v>5.5749999999999993</v>
      </c>
      <c r="S337">
        <v>0.21109439999999996</v>
      </c>
    </row>
    <row r="338" spans="1:19" x14ac:dyDescent="0.3">
      <c r="A338">
        <v>312</v>
      </c>
      <c r="B338">
        <v>13.9</v>
      </c>
      <c r="C338">
        <v>6.7</v>
      </c>
      <c r="D338">
        <v>0.8</v>
      </c>
      <c r="E338" s="3">
        <v>0</v>
      </c>
      <c r="F338" s="3">
        <v>0</v>
      </c>
      <c r="G338" s="3">
        <v>0</v>
      </c>
      <c r="R338">
        <v>5.5749999999999993</v>
      </c>
      <c r="S338">
        <v>0.21109439999999996</v>
      </c>
    </row>
    <row r="339" spans="1:19" x14ac:dyDescent="0.3">
      <c r="A339">
        <v>313</v>
      </c>
      <c r="B339">
        <v>10.6</v>
      </c>
      <c r="C339">
        <v>0</v>
      </c>
      <c r="D339">
        <v>2</v>
      </c>
      <c r="E339" s="3">
        <v>0</v>
      </c>
      <c r="F339" s="3">
        <v>0</v>
      </c>
      <c r="G339" s="3">
        <v>0</v>
      </c>
      <c r="R339">
        <v>5.5749999999999993</v>
      </c>
      <c r="S339">
        <v>0.21109439999999996</v>
      </c>
    </row>
    <row r="340" spans="1:19" x14ac:dyDescent="0.3">
      <c r="A340">
        <v>314</v>
      </c>
      <c r="B340">
        <v>12.2</v>
      </c>
      <c r="C340">
        <v>-3.3</v>
      </c>
      <c r="D340">
        <v>0</v>
      </c>
      <c r="E340" s="3">
        <v>0</v>
      </c>
      <c r="F340" s="3">
        <v>0</v>
      </c>
      <c r="G340" s="3">
        <v>0</v>
      </c>
      <c r="R340">
        <v>5.5749999999999993</v>
      </c>
      <c r="S340">
        <v>0.21109439999999996</v>
      </c>
    </row>
    <row r="341" spans="1:19" x14ac:dyDescent="0.3">
      <c r="A341">
        <v>315</v>
      </c>
      <c r="B341">
        <v>10</v>
      </c>
      <c r="C341">
        <v>1.7</v>
      </c>
      <c r="D341">
        <v>0</v>
      </c>
      <c r="E341" s="3">
        <v>0</v>
      </c>
      <c r="F341" s="3">
        <v>0</v>
      </c>
      <c r="G341" s="3">
        <v>0</v>
      </c>
      <c r="R341">
        <v>5.5749999999999993</v>
      </c>
      <c r="S341">
        <v>0.21109439999999996</v>
      </c>
    </row>
    <row r="342" spans="1:19" x14ac:dyDescent="0.3">
      <c r="A342">
        <v>316</v>
      </c>
      <c r="B342">
        <v>17.2</v>
      </c>
      <c r="C342">
        <v>6.1</v>
      </c>
      <c r="D342">
        <v>0</v>
      </c>
      <c r="E342" s="3">
        <v>0</v>
      </c>
      <c r="F342" s="3">
        <v>0</v>
      </c>
      <c r="G342" s="3">
        <v>0</v>
      </c>
      <c r="R342">
        <v>5.5749999999999993</v>
      </c>
      <c r="S342">
        <v>0.21109439999999996</v>
      </c>
    </row>
    <row r="343" spans="1:19" x14ac:dyDescent="0.3">
      <c r="A343">
        <v>317</v>
      </c>
      <c r="B343">
        <v>14.4</v>
      </c>
      <c r="C343">
        <v>10</v>
      </c>
      <c r="D343">
        <v>5.8</v>
      </c>
      <c r="E343" s="3">
        <v>0</v>
      </c>
      <c r="F343" s="3">
        <v>0</v>
      </c>
      <c r="G343" s="3">
        <v>0</v>
      </c>
      <c r="R343">
        <v>5.5749999999999993</v>
      </c>
      <c r="S343">
        <v>0.21109439999999996</v>
      </c>
    </row>
    <row r="344" spans="1:19" x14ac:dyDescent="0.3">
      <c r="A344">
        <v>318</v>
      </c>
      <c r="B344">
        <v>11.7</v>
      </c>
      <c r="C344">
        <v>2.8</v>
      </c>
      <c r="D344">
        <v>0</v>
      </c>
      <c r="E344" s="3">
        <v>0</v>
      </c>
      <c r="F344" s="3">
        <v>0</v>
      </c>
      <c r="G344" s="3">
        <v>0</v>
      </c>
      <c r="R344">
        <v>5.5749999999999993</v>
      </c>
      <c r="S344">
        <v>0.21109439999999996</v>
      </c>
    </row>
    <row r="345" spans="1:19" x14ac:dyDescent="0.3">
      <c r="A345">
        <v>319</v>
      </c>
      <c r="B345">
        <v>10.6</v>
      </c>
      <c r="C345">
        <v>0.6</v>
      </c>
      <c r="D345">
        <v>0</v>
      </c>
      <c r="E345" s="3">
        <v>0</v>
      </c>
      <c r="F345" s="3">
        <v>0</v>
      </c>
      <c r="G345" s="3">
        <v>0</v>
      </c>
      <c r="R345">
        <v>5.5749999999999993</v>
      </c>
      <c r="S345">
        <v>0.21109439999999996</v>
      </c>
    </row>
    <row r="346" spans="1:19" x14ac:dyDescent="0.3">
      <c r="A346">
        <v>320</v>
      </c>
      <c r="B346">
        <v>11.7</v>
      </c>
      <c r="C346">
        <v>-3.3</v>
      </c>
      <c r="D346">
        <v>0</v>
      </c>
      <c r="E346" s="3">
        <v>0</v>
      </c>
      <c r="F346" s="3">
        <v>0</v>
      </c>
      <c r="G346" s="3">
        <v>0</v>
      </c>
      <c r="R346">
        <v>5.5749999999999993</v>
      </c>
      <c r="S346">
        <v>0.21109439999999996</v>
      </c>
    </row>
    <row r="347" spans="1:19" x14ac:dyDescent="0.3">
      <c r="A347">
        <v>321</v>
      </c>
      <c r="B347">
        <v>15</v>
      </c>
      <c r="C347">
        <v>5</v>
      </c>
      <c r="D347">
        <v>1.5</v>
      </c>
      <c r="E347" s="3">
        <v>0</v>
      </c>
      <c r="F347" s="3">
        <v>0</v>
      </c>
      <c r="G347" s="3">
        <v>0</v>
      </c>
      <c r="R347">
        <v>5.5749999999999993</v>
      </c>
      <c r="S347">
        <v>0.21109439999999996</v>
      </c>
    </row>
    <row r="348" spans="1:19" x14ac:dyDescent="0.3">
      <c r="A348">
        <v>322</v>
      </c>
      <c r="B348">
        <v>8.9</v>
      </c>
      <c r="C348">
        <v>-1.7</v>
      </c>
      <c r="D348">
        <v>0</v>
      </c>
      <c r="E348" s="3">
        <v>0</v>
      </c>
      <c r="F348" s="3">
        <v>0</v>
      </c>
      <c r="G348" s="3">
        <v>0</v>
      </c>
      <c r="R348">
        <v>5.5749999999999993</v>
      </c>
      <c r="S348">
        <v>0.21109439999999996</v>
      </c>
    </row>
    <row r="349" spans="1:19" x14ac:dyDescent="0.3">
      <c r="A349">
        <v>323</v>
      </c>
      <c r="B349">
        <v>5</v>
      </c>
      <c r="C349">
        <v>-2.8</v>
      </c>
      <c r="D349">
        <v>0</v>
      </c>
      <c r="E349" s="3">
        <v>0</v>
      </c>
      <c r="F349" s="3">
        <v>0</v>
      </c>
      <c r="G349" s="3">
        <v>0</v>
      </c>
      <c r="R349">
        <v>5.5749999999999993</v>
      </c>
      <c r="S349">
        <v>0.21109439999999996</v>
      </c>
    </row>
    <row r="350" spans="1:19" x14ac:dyDescent="0.3">
      <c r="A350">
        <v>324</v>
      </c>
      <c r="B350">
        <v>8.3000000000000007</v>
      </c>
      <c r="C350">
        <v>4.4000000000000004</v>
      </c>
      <c r="D350">
        <v>20.6</v>
      </c>
      <c r="E350" s="3">
        <v>0</v>
      </c>
      <c r="F350" s="3">
        <v>0</v>
      </c>
      <c r="G350" s="3">
        <v>0</v>
      </c>
      <c r="R350">
        <v>5.5749999999999993</v>
      </c>
      <c r="S350">
        <v>0.21109439999999996</v>
      </c>
    </row>
    <row r="351" spans="1:19" x14ac:dyDescent="0.3">
      <c r="A351">
        <v>325</v>
      </c>
      <c r="B351">
        <v>7.8</v>
      </c>
      <c r="C351">
        <v>-1.7</v>
      </c>
      <c r="D351">
        <v>2</v>
      </c>
      <c r="E351" s="3">
        <v>0</v>
      </c>
      <c r="F351" s="3">
        <v>0</v>
      </c>
      <c r="G351" s="3">
        <v>0</v>
      </c>
      <c r="R351">
        <v>5.5749999999999993</v>
      </c>
      <c r="S351">
        <v>0.21109439999999996</v>
      </c>
    </row>
    <row r="352" spans="1:19" x14ac:dyDescent="0.3">
      <c r="A352">
        <v>326</v>
      </c>
      <c r="B352">
        <v>3.9</v>
      </c>
      <c r="C352">
        <v>-3.9</v>
      </c>
      <c r="D352">
        <v>0</v>
      </c>
      <c r="E352" s="3">
        <v>0</v>
      </c>
      <c r="F352" s="3">
        <v>0</v>
      </c>
      <c r="G352" s="3">
        <v>0</v>
      </c>
      <c r="R352">
        <v>5.5749999999999993</v>
      </c>
      <c r="S352">
        <v>0.21109439999999996</v>
      </c>
    </row>
    <row r="353" spans="1:19" x14ac:dyDescent="0.3">
      <c r="A353">
        <v>327</v>
      </c>
      <c r="B353">
        <v>8.9</v>
      </c>
      <c r="C353">
        <v>-2.8</v>
      </c>
      <c r="D353">
        <v>0</v>
      </c>
      <c r="E353" s="3">
        <v>0</v>
      </c>
      <c r="F353" s="3">
        <v>0</v>
      </c>
      <c r="G353" s="3">
        <v>0</v>
      </c>
      <c r="R353">
        <v>5.5749999999999993</v>
      </c>
      <c r="S353">
        <v>0.21109439999999996</v>
      </c>
    </row>
    <row r="354" spans="1:19" x14ac:dyDescent="0.3">
      <c r="A354">
        <v>328</v>
      </c>
      <c r="B354">
        <v>8.9</v>
      </c>
      <c r="C354">
        <v>0.6</v>
      </c>
      <c r="D354">
        <v>0</v>
      </c>
      <c r="E354" s="3">
        <v>0</v>
      </c>
      <c r="F354" s="3">
        <v>0</v>
      </c>
      <c r="G354" s="3">
        <v>0</v>
      </c>
      <c r="R354">
        <v>5.5749999999999993</v>
      </c>
      <c r="S354">
        <v>0.21109439999999996</v>
      </c>
    </row>
    <row r="355" spans="1:19" x14ac:dyDescent="0.3">
      <c r="A355">
        <v>329</v>
      </c>
      <c r="B355">
        <v>9.4</v>
      </c>
      <c r="C355">
        <v>-3.3</v>
      </c>
      <c r="D355">
        <v>0</v>
      </c>
      <c r="E355" s="3">
        <v>0</v>
      </c>
      <c r="F355" s="3">
        <v>0</v>
      </c>
      <c r="G355" s="3">
        <v>0</v>
      </c>
      <c r="R355">
        <v>5.5749999999999993</v>
      </c>
      <c r="S355">
        <v>0.21109439999999996</v>
      </c>
    </row>
    <row r="356" spans="1:19" x14ac:dyDescent="0.3">
      <c r="A356">
        <v>330</v>
      </c>
      <c r="B356">
        <v>6.1</v>
      </c>
      <c r="C356">
        <v>0</v>
      </c>
      <c r="D356">
        <v>0</v>
      </c>
      <c r="E356" s="3">
        <v>0</v>
      </c>
      <c r="F356" s="3">
        <v>0</v>
      </c>
      <c r="G356" s="3">
        <v>0</v>
      </c>
      <c r="R356">
        <v>5.5749999999999993</v>
      </c>
      <c r="S356">
        <v>0.21109439999999996</v>
      </c>
    </row>
    <row r="357" spans="1:19" x14ac:dyDescent="0.3">
      <c r="A357">
        <v>331</v>
      </c>
      <c r="B357">
        <v>10.6</v>
      </c>
      <c r="C357">
        <v>-0.6</v>
      </c>
      <c r="D357">
        <v>7.1</v>
      </c>
      <c r="E357" s="3">
        <v>0</v>
      </c>
      <c r="F357" s="3">
        <v>0</v>
      </c>
      <c r="G357" s="3">
        <v>0</v>
      </c>
      <c r="R357">
        <v>5.5749999999999993</v>
      </c>
      <c r="S357">
        <v>0.21109439999999996</v>
      </c>
    </row>
    <row r="358" spans="1:19" x14ac:dyDescent="0.3">
      <c r="A358">
        <v>332</v>
      </c>
      <c r="B358">
        <v>2.2000000000000002</v>
      </c>
      <c r="C358">
        <v>-3.3</v>
      </c>
      <c r="D358">
        <v>0.5</v>
      </c>
      <c r="E358" s="3">
        <v>0</v>
      </c>
      <c r="F358" s="3">
        <v>0</v>
      </c>
      <c r="G358" s="3">
        <v>0</v>
      </c>
      <c r="R358">
        <v>5.5749999999999993</v>
      </c>
      <c r="S358">
        <v>0.21109439999999996</v>
      </c>
    </row>
    <row r="359" spans="1:19" x14ac:dyDescent="0.3">
      <c r="A359">
        <v>333</v>
      </c>
      <c r="B359">
        <v>-1.1000000000000001</v>
      </c>
      <c r="C359">
        <v>-6.7</v>
      </c>
      <c r="D359">
        <v>0</v>
      </c>
      <c r="E359" s="3">
        <v>0</v>
      </c>
      <c r="F359" s="3">
        <v>0</v>
      </c>
      <c r="G359" s="3">
        <v>0</v>
      </c>
      <c r="R359">
        <v>5.5749999999999993</v>
      </c>
      <c r="S359">
        <v>0.21109439999999996</v>
      </c>
    </row>
    <row r="360" spans="1:19" x14ac:dyDescent="0.3">
      <c r="A360">
        <v>334</v>
      </c>
      <c r="B360">
        <v>9.4</v>
      </c>
      <c r="C360">
        <v>-7.8</v>
      </c>
      <c r="D360">
        <v>0</v>
      </c>
      <c r="E360" s="3">
        <v>0</v>
      </c>
      <c r="F360" s="3">
        <v>0</v>
      </c>
      <c r="G360" s="3">
        <v>0</v>
      </c>
      <c r="R360">
        <v>5.5749999999999993</v>
      </c>
      <c r="S360">
        <v>0.21109439999999996</v>
      </c>
    </row>
    <row r="361" spans="1:19" x14ac:dyDescent="0.3">
      <c r="A361">
        <v>335</v>
      </c>
      <c r="B361">
        <v>16.100000000000001</v>
      </c>
      <c r="C361">
        <v>-0.6</v>
      </c>
      <c r="D361">
        <v>0</v>
      </c>
      <c r="E361" s="3">
        <v>0</v>
      </c>
      <c r="F361" s="3">
        <v>0</v>
      </c>
      <c r="G361" s="3">
        <v>0</v>
      </c>
      <c r="R361">
        <v>-0.95483870967741935</v>
      </c>
      <c r="S361">
        <v>0.14703024516129032</v>
      </c>
    </row>
    <row r="362" spans="1:19" x14ac:dyDescent="0.3">
      <c r="A362">
        <v>336</v>
      </c>
      <c r="B362">
        <v>13.9</v>
      </c>
      <c r="C362">
        <v>1.7</v>
      </c>
      <c r="D362">
        <v>0</v>
      </c>
      <c r="E362" s="3">
        <v>0</v>
      </c>
      <c r="F362" s="3">
        <v>0</v>
      </c>
      <c r="G362" s="3">
        <v>0</v>
      </c>
      <c r="R362">
        <v>-0.95483870967741935</v>
      </c>
      <c r="S362">
        <v>0.14703024516129032</v>
      </c>
    </row>
    <row r="363" spans="1:19" x14ac:dyDescent="0.3">
      <c r="A363">
        <v>337</v>
      </c>
      <c r="B363">
        <v>12.2</v>
      </c>
      <c r="C363">
        <v>1.1000000000000001</v>
      </c>
      <c r="D363">
        <v>0</v>
      </c>
      <c r="E363" s="3">
        <v>0</v>
      </c>
      <c r="F363" s="3">
        <v>0</v>
      </c>
      <c r="G363" s="3">
        <v>0</v>
      </c>
      <c r="R363">
        <v>-0.95483870967741935</v>
      </c>
      <c r="S363">
        <v>0.14703024516129032</v>
      </c>
    </row>
    <row r="364" spans="1:19" x14ac:dyDescent="0.3">
      <c r="A364">
        <v>338</v>
      </c>
      <c r="B364">
        <v>9.4</v>
      </c>
      <c r="C364">
        <v>1.1000000000000001</v>
      </c>
      <c r="D364">
        <v>5.6</v>
      </c>
      <c r="E364" s="3">
        <v>0</v>
      </c>
      <c r="F364" s="3">
        <v>0</v>
      </c>
      <c r="G364" s="3">
        <v>0</v>
      </c>
      <c r="R364">
        <v>-0.95483870967741935</v>
      </c>
      <c r="S364">
        <v>0.14703024516129032</v>
      </c>
    </row>
    <row r="365" spans="1:19" x14ac:dyDescent="0.3">
      <c r="A365">
        <v>339</v>
      </c>
      <c r="B365">
        <v>2.2000000000000002</v>
      </c>
      <c r="C365">
        <v>-6.1</v>
      </c>
      <c r="D365">
        <v>0</v>
      </c>
      <c r="E365" s="3">
        <v>0</v>
      </c>
      <c r="F365" s="3">
        <v>0</v>
      </c>
      <c r="G365" s="3">
        <v>0</v>
      </c>
      <c r="R365">
        <v>-0.95483870967741935</v>
      </c>
      <c r="S365">
        <v>0.14703024516129032</v>
      </c>
    </row>
    <row r="366" spans="1:19" x14ac:dyDescent="0.3">
      <c r="A366">
        <v>340</v>
      </c>
      <c r="B366">
        <v>-3.9</v>
      </c>
      <c r="C366">
        <v>-6.1</v>
      </c>
      <c r="D366">
        <v>36.299999999999997</v>
      </c>
      <c r="E366" s="3">
        <v>0</v>
      </c>
      <c r="F366" s="3">
        <v>0</v>
      </c>
      <c r="G366" s="3">
        <v>0</v>
      </c>
      <c r="R366">
        <v>-0.95483870967741935</v>
      </c>
      <c r="S366">
        <v>0.14703024516129032</v>
      </c>
    </row>
    <row r="367" spans="1:19" x14ac:dyDescent="0.3">
      <c r="A367">
        <v>341</v>
      </c>
      <c r="B367">
        <v>-0.6</v>
      </c>
      <c r="C367">
        <v>-5.6</v>
      </c>
      <c r="D367">
        <v>4.0999999999999996</v>
      </c>
      <c r="E367" s="3">
        <v>0</v>
      </c>
      <c r="F367" s="3">
        <v>0</v>
      </c>
      <c r="G367" s="3">
        <v>0</v>
      </c>
      <c r="R367">
        <v>-0.95483870967741935</v>
      </c>
      <c r="S367">
        <v>0.14703024516129032</v>
      </c>
    </row>
    <row r="368" spans="1:19" x14ac:dyDescent="0.3">
      <c r="A368">
        <v>342</v>
      </c>
      <c r="B368">
        <v>0</v>
      </c>
      <c r="C368">
        <v>-3.3</v>
      </c>
      <c r="D368">
        <v>0.3</v>
      </c>
      <c r="E368" s="3">
        <v>0</v>
      </c>
      <c r="F368" s="3">
        <v>0</v>
      </c>
      <c r="G368" s="3">
        <v>0</v>
      </c>
      <c r="R368">
        <v>-0.95483870967741935</v>
      </c>
      <c r="S368">
        <v>0.14703024516129032</v>
      </c>
    </row>
    <row r="369" spans="1:19" x14ac:dyDescent="0.3">
      <c r="A369">
        <v>343</v>
      </c>
      <c r="B369">
        <v>-1.1000000000000001</v>
      </c>
      <c r="C369">
        <v>-12.2</v>
      </c>
      <c r="D369">
        <v>0</v>
      </c>
      <c r="E369" s="3">
        <v>0</v>
      </c>
      <c r="F369" s="3">
        <v>0</v>
      </c>
      <c r="G369" s="3">
        <v>0</v>
      </c>
      <c r="R369">
        <v>-0.95483870967741935</v>
      </c>
      <c r="S369">
        <v>0.14703024516129032</v>
      </c>
    </row>
    <row r="370" spans="1:19" x14ac:dyDescent="0.3">
      <c r="A370">
        <v>344</v>
      </c>
      <c r="B370">
        <v>-4.4000000000000004</v>
      </c>
      <c r="C370">
        <v>-14.4</v>
      </c>
      <c r="D370">
        <v>0</v>
      </c>
      <c r="E370" s="3">
        <v>0</v>
      </c>
      <c r="F370" s="3">
        <v>0</v>
      </c>
      <c r="G370" s="3">
        <v>0</v>
      </c>
      <c r="R370">
        <v>-0.95483870967741935</v>
      </c>
      <c r="S370">
        <v>0.14703024516129032</v>
      </c>
    </row>
    <row r="371" spans="1:19" x14ac:dyDescent="0.3">
      <c r="A371">
        <v>345</v>
      </c>
      <c r="B371">
        <v>-9.4</v>
      </c>
      <c r="C371">
        <v>-20</v>
      </c>
      <c r="D371">
        <v>0</v>
      </c>
      <c r="E371" s="3">
        <v>0</v>
      </c>
      <c r="F371" s="3">
        <v>0</v>
      </c>
      <c r="G371" s="3">
        <v>0</v>
      </c>
      <c r="R371">
        <v>-0.95483870967741935</v>
      </c>
      <c r="S371">
        <v>0.14703024516129032</v>
      </c>
    </row>
    <row r="372" spans="1:19" x14ac:dyDescent="0.3">
      <c r="A372">
        <v>346</v>
      </c>
      <c r="B372">
        <v>0</v>
      </c>
      <c r="C372">
        <v>-10.6</v>
      </c>
      <c r="D372">
        <v>0</v>
      </c>
      <c r="E372" s="3">
        <v>0</v>
      </c>
      <c r="F372" s="3">
        <v>0</v>
      </c>
      <c r="G372" s="3">
        <v>0</v>
      </c>
      <c r="R372">
        <v>-0.95483870967741935</v>
      </c>
      <c r="S372">
        <v>0.14703024516129032</v>
      </c>
    </row>
    <row r="373" spans="1:19" x14ac:dyDescent="0.3">
      <c r="A373">
        <v>347</v>
      </c>
      <c r="B373">
        <v>-3.9</v>
      </c>
      <c r="C373">
        <v>-10</v>
      </c>
      <c r="D373">
        <v>0</v>
      </c>
      <c r="E373" s="3">
        <v>0</v>
      </c>
      <c r="F373" s="3">
        <v>0</v>
      </c>
      <c r="G373" s="3">
        <v>0</v>
      </c>
      <c r="R373">
        <v>-0.95483870967741935</v>
      </c>
      <c r="S373">
        <v>0.14703024516129032</v>
      </c>
    </row>
    <row r="374" spans="1:19" x14ac:dyDescent="0.3">
      <c r="A374">
        <v>348</v>
      </c>
      <c r="B374">
        <v>-3.3</v>
      </c>
      <c r="C374">
        <v>-6.7</v>
      </c>
      <c r="D374">
        <v>3</v>
      </c>
      <c r="E374" s="3">
        <v>0</v>
      </c>
      <c r="F374" s="3">
        <v>0</v>
      </c>
      <c r="G374" s="3">
        <v>0</v>
      </c>
      <c r="R374">
        <v>-0.95483870967741935</v>
      </c>
      <c r="S374">
        <v>0.14703024516129032</v>
      </c>
    </row>
    <row r="375" spans="1:19" x14ac:dyDescent="0.3">
      <c r="A375">
        <v>349</v>
      </c>
      <c r="B375">
        <v>2.8</v>
      </c>
      <c r="C375">
        <v>-3.3</v>
      </c>
      <c r="D375">
        <v>0</v>
      </c>
      <c r="E375" s="3">
        <v>0</v>
      </c>
      <c r="F375" s="3">
        <v>0</v>
      </c>
      <c r="G375" s="3">
        <v>0</v>
      </c>
      <c r="R375">
        <v>-0.95483870967741935</v>
      </c>
      <c r="S375">
        <v>0.14703024516129032</v>
      </c>
    </row>
    <row r="376" spans="1:19" x14ac:dyDescent="0.3">
      <c r="A376">
        <v>350</v>
      </c>
      <c r="B376">
        <v>2.2000000000000002</v>
      </c>
      <c r="C376">
        <v>-4.4000000000000004</v>
      </c>
      <c r="D376">
        <v>1.8</v>
      </c>
      <c r="E376" s="3">
        <v>0</v>
      </c>
      <c r="F376" s="3">
        <v>0</v>
      </c>
      <c r="G376" s="3">
        <v>0</v>
      </c>
      <c r="R376">
        <v>-0.95483870967741935</v>
      </c>
      <c r="S376">
        <v>0.14703024516129032</v>
      </c>
    </row>
    <row r="377" spans="1:19" x14ac:dyDescent="0.3">
      <c r="A377">
        <v>351</v>
      </c>
      <c r="B377">
        <v>3.9</v>
      </c>
      <c r="C377">
        <v>-4.4000000000000004</v>
      </c>
      <c r="D377">
        <v>0</v>
      </c>
      <c r="E377" s="3">
        <v>0</v>
      </c>
      <c r="F377" s="3">
        <v>0</v>
      </c>
      <c r="G377" s="3">
        <v>0</v>
      </c>
      <c r="R377">
        <v>-0.95483870967741935</v>
      </c>
      <c r="S377">
        <v>0.14703024516129032</v>
      </c>
    </row>
    <row r="378" spans="1:19" x14ac:dyDescent="0.3">
      <c r="A378">
        <v>352</v>
      </c>
      <c r="B378">
        <v>-3.3</v>
      </c>
      <c r="C378">
        <v>-8.3000000000000007</v>
      </c>
      <c r="D378">
        <v>0</v>
      </c>
      <c r="E378" s="3">
        <v>0</v>
      </c>
      <c r="F378" s="3">
        <v>0</v>
      </c>
      <c r="G378" s="3">
        <v>0</v>
      </c>
      <c r="R378">
        <v>-0.95483870967741935</v>
      </c>
      <c r="S378">
        <v>0.14703024516129032</v>
      </c>
    </row>
    <row r="379" spans="1:19" x14ac:dyDescent="0.3">
      <c r="A379">
        <v>353</v>
      </c>
      <c r="B379">
        <v>7.8</v>
      </c>
      <c r="C379">
        <v>-5.6</v>
      </c>
      <c r="D379">
        <v>0</v>
      </c>
      <c r="E379" s="3">
        <v>0</v>
      </c>
      <c r="F379" s="3">
        <v>0</v>
      </c>
      <c r="G379" s="3">
        <v>0</v>
      </c>
      <c r="R379">
        <v>-0.95483870967741935</v>
      </c>
      <c r="S379">
        <v>0.14703024516129032</v>
      </c>
    </row>
    <row r="380" spans="1:19" x14ac:dyDescent="0.3">
      <c r="A380">
        <v>354</v>
      </c>
      <c r="B380">
        <v>6.1</v>
      </c>
      <c r="C380">
        <v>1.7</v>
      </c>
      <c r="D380">
        <v>0.3</v>
      </c>
      <c r="E380" s="3">
        <v>0</v>
      </c>
      <c r="F380" s="3">
        <v>0</v>
      </c>
      <c r="G380" s="3">
        <v>0</v>
      </c>
      <c r="R380">
        <v>-0.95483870967741935</v>
      </c>
      <c r="S380">
        <v>0.14703024516129032</v>
      </c>
    </row>
    <row r="381" spans="1:19" x14ac:dyDescent="0.3">
      <c r="A381">
        <v>355</v>
      </c>
      <c r="B381">
        <v>3.9</v>
      </c>
      <c r="C381">
        <v>0.6</v>
      </c>
      <c r="D381">
        <v>0</v>
      </c>
      <c r="E381" s="3">
        <v>0</v>
      </c>
      <c r="F381" s="3">
        <v>0</v>
      </c>
      <c r="G381" s="3">
        <v>0</v>
      </c>
      <c r="R381">
        <v>-0.95483870967741935</v>
      </c>
      <c r="S381">
        <v>0.14703024516129032</v>
      </c>
    </row>
    <row r="382" spans="1:19" x14ac:dyDescent="0.3">
      <c r="A382">
        <v>356</v>
      </c>
      <c r="B382">
        <v>1.1000000000000001</v>
      </c>
      <c r="C382">
        <v>-1.1000000000000001</v>
      </c>
      <c r="D382">
        <v>0</v>
      </c>
      <c r="E382" s="3">
        <v>0</v>
      </c>
      <c r="F382" s="3">
        <v>0</v>
      </c>
      <c r="G382" s="3">
        <v>0</v>
      </c>
      <c r="R382">
        <v>-0.95483870967741935</v>
      </c>
      <c r="S382">
        <v>0.14703024516129032</v>
      </c>
    </row>
    <row r="383" spans="1:19" x14ac:dyDescent="0.3">
      <c r="A383">
        <v>357</v>
      </c>
      <c r="B383">
        <v>2.8</v>
      </c>
      <c r="C383">
        <v>-5</v>
      </c>
      <c r="D383">
        <v>0</v>
      </c>
      <c r="E383" s="3">
        <v>0</v>
      </c>
      <c r="F383" s="3">
        <v>0</v>
      </c>
      <c r="G383" s="3">
        <v>0</v>
      </c>
      <c r="R383">
        <v>-0.95483870967741935</v>
      </c>
      <c r="S383">
        <v>0.14703024516129032</v>
      </c>
    </row>
    <row r="384" spans="1:19" x14ac:dyDescent="0.3">
      <c r="A384">
        <v>358</v>
      </c>
      <c r="B384">
        <v>5</v>
      </c>
      <c r="C384">
        <v>-7.8</v>
      </c>
      <c r="D384">
        <v>0</v>
      </c>
      <c r="E384" s="3">
        <v>0</v>
      </c>
      <c r="F384" s="3">
        <v>0</v>
      </c>
      <c r="G384" s="3">
        <v>0</v>
      </c>
      <c r="R384">
        <v>-0.95483870967741935</v>
      </c>
      <c r="S384">
        <v>0.14703024516129032</v>
      </c>
    </row>
    <row r="385" spans="1:19" x14ac:dyDescent="0.3">
      <c r="A385">
        <v>359</v>
      </c>
      <c r="B385">
        <v>9.4</v>
      </c>
      <c r="C385">
        <v>-6.1</v>
      </c>
      <c r="D385">
        <v>0</v>
      </c>
      <c r="E385" s="3">
        <v>0</v>
      </c>
      <c r="F385" s="3">
        <v>0</v>
      </c>
      <c r="G385" s="3">
        <v>0</v>
      </c>
      <c r="R385">
        <v>-0.95483870967741935</v>
      </c>
      <c r="S385">
        <v>0.14703024516129032</v>
      </c>
    </row>
    <row r="386" spans="1:19" x14ac:dyDescent="0.3">
      <c r="A386">
        <v>360</v>
      </c>
      <c r="B386">
        <v>10</v>
      </c>
      <c r="C386">
        <v>-5.6</v>
      </c>
      <c r="D386">
        <v>0</v>
      </c>
      <c r="E386" s="3">
        <v>0</v>
      </c>
      <c r="F386" s="3">
        <v>0</v>
      </c>
      <c r="G386" s="3">
        <v>0</v>
      </c>
      <c r="R386">
        <v>-0.95483870967741935</v>
      </c>
      <c r="S386">
        <v>0.14703024516129032</v>
      </c>
    </row>
    <row r="387" spans="1:19" x14ac:dyDescent="0.3">
      <c r="A387">
        <v>361</v>
      </c>
      <c r="B387">
        <v>12.8</v>
      </c>
      <c r="C387">
        <v>0.6</v>
      </c>
      <c r="D387">
        <v>0</v>
      </c>
      <c r="E387" s="3">
        <v>0</v>
      </c>
      <c r="F387" s="3">
        <v>0</v>
      </c>
      <c r="G387" s="3">
        <v>0</v>
      </c>
      <c r="R387">
        <v>-0.95483870967741935</v>
      </c>
      <c r="S387">
        <v>0.14703024516129032</v>
      </c>
    </row>
    <row r="388" spans="1:19" x14ac:dyDescent="0.3">
      <c r="A388">
        <v>362</v>
      </c>
      <c r="B388">
        <v>1.7</v>
      </c>
      <c r="C388">
        <v>-1.7</v>
      </c>
      <c r="D388">
        <v>0</v>
      </c>
      <c r="E388" s="3">
        <v>0</v>
      </c>
      <c r="F388" s="3">
        <v>0</v>
      </c>
      <c r="G388" s="3">
        <v>0</v>
      </c>
      <c r="R388">
        <v>-0.95483870967741935</v>
      </c>
      <c r="S388">
        <v>0.14703024516129032</v>
      </c>
    </row>
    <row r="389" spans="1:19" x14ac:dyDescent="0.3">
      <c r="A389">
        <v>363</v>
      </c>
      <c r="B389">
        <v>1.7</v>
      </c>
      <c r="C389">
        <v>-2.8</v>
      </c>
      <c r="D389">
        <v>0</v>
      </c>
      <c r="E389" s="3">
        <v>0</v>
      </c>
      <c r="F389" s="3">
        <v>0</v>
      </c>
      <c r="G389" s="3">
        <v>0</v>
      </c>
      <c r="R389">
        <v>-0.95483870967741935</v>
      </c>
      <c r="S389">
        <v>0.14703024516129032</v>
      </c>
    </row>
    <row r="390" spans="1:19" x14ac:dyDescent="0.3">
      <c r="A390">
        <v>364</v>
      </c>
      <c r="B390">
        <v>1.7</v>
      </c>
      <c r="C390">
        <v>-0.6</v>
      </c>
      <c r="D390">
        <v>1</v>
      </c>
      <c r="E390" s="3">
        <v>0</v>
      </c>
      <c r="F390" s="3">
        <v>0</v>
      </c>
      <c r="G390" s="3">
        <v>0</v>
      </c>
      <c r="R390">
        <v>-0.95483870967741935</v>
      </c>
      <c r="S390">
        <v>0.14703024516129032</v>
      </c>
    </row>
    <row r="391" spans="1:19" x14ac:dyDescent="0.3">
      <c r="A391">
        <v>365</v>
      </c>
      <c r="B391">
        <v>0.6</v>
      </c>
      <c r="C391">
        <v>-11.1</v>
      </c>
      <c r="D391">
        <v>9.1</v>
      </c>
      <c r="E391" s="3">
        <v>0</v>
      </c>
      <c r="F391" s="3">
        <v>0</v>
      </c>
      <c r="G391" s="3">
        <v>0</v>
      </c>
      <c r="R391">
        <v>-0.95483870967741935</v>
      </c>
      <c r="S391">
        <v>0.14703024516129032</v>
      </c>
    </row>
    <row r="392" spans="1:19" x14ac:dyDescent="0.3">
      <c r="B392">
        <f>SUM(D27:D391)</f>
        <v>716.49999999999977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heet1.water">
                <anchor moveWithCells="1" sizeWithCells="1">
                  <from>
                    <xdr:col>0</xdr:col>
                    <xdr:colOff>106680</xdr:colOff>
                    <xdr:row>20</xdr:row>
                    <xdr:rowOff>137160</xdr:rowOff>
                  </from>
                  <to>
                    <xdr:col>2</xdr:col>
                    <xdr:colOff>502920</xdr:colOff>
                    <xdr:row>24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4:D373"/>
  <sheetViews>
    <sheetView workbookViewId="0">
      <selection activeCell="B5" sqref="B5"/>
    </sheetView>
  </sheetViews>
  <sheetFormatPr defaultRowHeight="14.4" x14ac:dyDescent="0.3"/>
  <sheetData>
    <row r="4" spans="1:4" x14ac:dyDescent="0.3">
      <c r="A4" t="s">
        <v>57</v>
      </c>
      <c r="B4">
        <v>85</v>
      </c>
    </row>
    <row r="7" spans="1:4" x14ac:dyDescent="0.3">
      <c r="A7" t="s">
        <v>53</v>
      </c>
      <c r="B7" t="s">
        <v>54</v>
      </c>
      <c r="C7" t="s">
        <v>55</v>
      </c>
      <c r="D7" t="s">
        <v>56</v>
      </c>
    </row>
    <row r="8" spans="1:4" x14ac:dyDescent="0.3">
      <c r="A8">
        <v>0.1</v>
      </c>
      <c r="B8">
        <f>IF(A8&gt;0,25400/B$4 -254,0)</f>
        <v>44.823529411764696</v>
      </c>
      <c r="C8">
        <f>(A8-0.2*B8)^2/(A8+0.8*B8)</f>
        <v>2.1853609953714837</v>
      </c>
      <c r="D8">
        <f>A8-C8</f>
        <v>-2.0853609953714836</v>
      </c>
    </row>
    <row r="9" spans="1:4" x14ac:dyDescent="0.3">
      <c r="A9">
        <v>0.2</v>
      </c>
      <c r="B9">
        <f t="shared" ref="B9:B22" si="0">IF(A9&gt;0,25400/B$4 -254,0)</f>
        <v>44.823529411764696</v>
      </c>
      <c r="C9">
        <f>(A9-0.2*B9)^2/(A9+0.8*B9)</f>
        <v>2.1304097495441896</v>
      </c>
      <c r="D9">
        <f>A9-C9</f>
        <v>-1.9304097495441896</v>
      </c>
    </row>
    <row r="10" spans="1:4" x14ac:dyDescent="0.3">
      <c r="A10">
        <v>0.3</v>
      </c>
      <c r="B10">
        <f t="shared" si="0"/>
        <v>44.823529411764696</v>
      </c>
      <c r="C10">
        <f>(A10-0.2*B10)^2/(A10+0.8*B10)</f>
        <v>2.0763155628283521</v>
      </c>
      <c r="D10">
        <f>A10-C10</f>
        <v>-1.776315562828352</v>
      </c>
    </row>
    <row r="11" spans="1:4" x14ac:dyDescent="0.3">
      <c r="A11">
        <v>0.4</v>
      </c>
      <c r="B11">
        <f t="shared" si="0"/>
        <v>44.823529411764696</v>
      </c>
      <c r="C11">
        <f t="shared" ref="C11:C24" si="1">(A11-0.2*B11)^2/(A11+0.8*B11)</f>
        <v>2.023071344047028</v>
      </c>
      <c r="D11">
        <f t="shared" ref="D11:D22" si="2">A11-C11</f>
        <v>-1.6230713440470281</v>
      </c>
    </row>
    <row r="12" spans="1:4" x14ac:dyDescent="0.3">
      <c r="A12">
        <v>0.5</v>
      </c>
      <c r="B12">
        <f t="shared" si="0"/>
        <v>44.823529411764696</v>
      </c>
      <c r="C12">
        <f t="shared" si="1"/>
        <v>1.970670080036544</v>
      </c>
      <c r="D12">
        <f t="shared" si="2"/>
        <v>-1.470670080036544</v>
      </c>
    </row>
    <row r="13" spans="1:4" x14ac:dyDescent="0.3">
      <c r="A13">
        <v>0.6</v>
      </c>
      <c r="B13">
        <f t="shared" si="0"/>
        <v>44.823529411764696</v>
      </c>
      <c r="C13">
        <f t="shared" si="1"/>
        <v>1.9191048345766182</v>
      </c>
      <c r="D13">
        <f t="shared" si="2"/>
        <v>-1.3191048345766183</v>
      </c>
    </row>
    <row r="14" spans="1:4" x14ac:dyDescent="0.3">
      <c r="A14">
        <v>0.7</v>
      </c>
      <c r="B14">
        <f t="shared" si="0"/>
        <v>44.823529411764696</v>
      </c>
      <c r="C14">
        <f t="shared" si="1"/>
        <v>1.8683687473380339</v>
      </c>
      <c r="D14">
        <f t="shared" si="2"/>
        <v>-1.168368747338034</v>
      </c>
    </row>
    <row r="15" spans="1:4" x14ac:dyDescent="0.3">
      <c r="A15">
        <v>0.8</v>
      </c>
      <c r="B15">
        <f t="shared" si="0"/>
        <v>44.823529411764696</v>
      </c>
      <c r="C15">
        <f t="shared" si="1"/>
        <v>1.8184550328475413</v>
      </c>
      <c r="D15">
        <f t="shared" si="2"/>
        <v>-1.0184550328475412</v>
      </c>
    </row>
    <row r="16" spans="1:4" x14ac:dyDescent="0.3">
      <c r="A16">
        <v>0.9</v>
      </c>
      <c r="B16">
        <f t="shared" si="0"/>
        <v>44.823529411764696</v>
      </c>
      <c r="C16">
        <f t="shared" si="1"/>
        <v>1.769356979469656</v>
      </c>
      <c r="D16">
        <f t="shared" si="2"/>
        <v>-0.86935697946965595</v>
      </c>
    </row>
    <row r="17" spans="1:4" x14ac:dyDescent="0.3">
      <c r="A17">
        <v>1</v>
      </c>
      <c r="B17">
        <f t="shared" si="0"/>
        <v>44.823529411764696</v>
      </c>
      <c r="C17">
        <f t="shared" si="1"/>
        <v>1.7210679484050238</v>
      </c>
      <c r="D17">
        <f t="shared" si="2"/>
        <v>-0.72106794840502375</v>
      </c>
    </row>
    <row r="18" spans="1:4" x14ac:dyDescent="0.3">
      <c r="A18">
        <v>2</v>
      </c>
      <c r="B18">
        <f t="shared" si="0"/>
        <v>44.823529411764696</v>
      </c>
      <c r="C18">
        <f t="shared" si="1"/>
        <v>1.2812634811538035</v>
      </c>
      <c r="D18">
        <f t="shared" si="2"/>
        <v>0.71873651884619649</v>
      </c>
    </row>
    <row r="19" spans="1:4" x14ac:dyDescent="0.3">
      <c r="A19">
        <v>3</v>
      </c>
      <c r="B19">
        <f t="shared" si="0"/>
        <v>44.823529411764696</v>
      </c>
      <c r="C19">
        <f t="shared" si="1"/>
        <v>0.91556339156916133</v>
      </c>
      <c r="D19">
        <f t="shared" si="2"/>
        <v>2.0844366084308388</v>
      </c>
    </row>
    <row r="20" spans="1:4" x14ac:dyDescent="0.3">
      <c r="A20">
        <v>4</v>
      </c>
      <c r="B20">
        <f t="shared" si="0"/>
        <v>44.823529411764696</v>
      </c>
      <c r="C20">
        <f t="shared" si="1"/>
        <v>0.61839016598374852</v>
      </c>
      <c r="D20">
        <f t="shared" si="2"/>
        <v>3.3816098340162517</v>
      </c>
    </row>
    <row r="21" spans="1:4" x14ac:dyDescent="0.3">
      <c r="A21">
        <v>5</v>
      </c>
      <c r="B21">
        <f t="shared" si="0"/>
        <v>44.823529411764696</v>
      </c>
      <c r="C21">
        <f t="shared" si="1"/>
        <v>0.38471231855828975</v>
      </c>
      <c r="D21">
        <f t="shared" si="2"/>
        <v>4.6152876814417105</v>
      </c>
    </row>
    <row r="22" spans="1:4" x14ac:dyDescent="0.3">
      <c r="A22">
        <v>6</v>
      </c>
      <c r="B22">
        <f t="shared" si="0"/>
        <v>44.823529411764696</v>
      </c>
      <c r="C22">
        <f t="shared" si="1"/>
        <v>0.20997916873326039</v>
      </c>
      <c r="D22">
        <f t="shared" si="2"/>
        <v>5.7900208312667392</v>
      </c>
    </row>
    <row r="24" spans="1:4" x14ac:dyDescent="0.3">
      <c r="A24">
        <v>1.3</v>
      </c>
      <c r="C24">
        <f t="shared" si="1"/>
        <v>1.3</v>
      </c>
    </row>
    <row r="25" spans="1:4" x14ac:dyDescent="0.3">
      <c r="A25">
        <v>0</v>
      </c>
    </row>
    <row r="26" spans="1:4" x14ac:dyDescent="0.3">
      <c r="A26">
        <v>0</v>
      </c>
    </row>
    <row r="27" spans="1:4" x14ac:dyDescent="0.3">
      <c r="A27">
        <v>0.8</v>
      </c>
    </row>
    <row r="28" spans="1:4" x14ac:dyDescent="0.3">
      <c r="A28">
        <v>0</v>
      </c>
    </row>
    <row r="29" spans="1:4" x14ac:dyDescent="0.3">
      <c r="A29">
        <v>0</v>
      </c>
    </row>
    <row r="30" spans="1:4" x14ac:dyDescent="0.3">
      <c r="A30">
        <v>0</v>
      </c>
    </row>
    <row r="31" spans="1:4" x14ac:dyDescent="0.3">
      <c r="A31">
        <v>0</v>
      </c>
    </row>
    <row r="32" spans="1:4" x14ac:dyDescent="0.3">
      <c r="A32">
        <v>0</v>
      </c>
    </row>
    <row r="33" spans="1:1" x14ac:dyDescent="0.3">
      <c r="A33">
        <v>1.5</v>
      </c>
    </row>
    <row r="34" spans="1:1" x14ac:dyDescent="0.3">
      <c r="A34">
        <v>9.1</v>
      </c>
    </row>
    <row r="35" spans="1:1" x14ac:dyDescent="0.3">
      <c r="A35">
        <v>2</v>
      </c>
    </row>
    <row r="36" spans="1:1" x14ac:dyDescent="0.3">
      <c r="A36">
        <v>0</v>
      </c>
    </row>
    <row r="37" spans="1:1" x14ac:dyDescent="0.3">
      <c r="A37">
        <v>1</v>
      </c>
    </row>
    <row r="38" spans="1:1" x14ac:dyDescent="0.3">
      <c r="A38">
        <v>0.3</v>
      </c>
    </row>
    <row r="39" spans="1:1" x14ac:dyDescent="0.3">
      <c r="A39">
        <v>0</v>
      </c>
    </row>
    <row r="40" spans="1:1" x14ac:dyDescent="0.3">
      <c r="A40">
        <v>0</v>
      </c>
    </row>
    <row r="41" spans="1:1" x14ac:dyDescent="0.3">
      <c r="A41">
        <v>0</v>
      </c>
    </row>
    <row r="42" spans="1:1" x14ac:dyDescent="0.3">
      <c r="A42">
        <v>0</v>
      </c>
    </row>
    <row r="43" spans="1:1" x14ac:dyDescent="0.3">
      <c r="A43">
        <v>0</v>
      </c>
    </row>
    <row r="44" spans="1:1" x14ac:dyDescent="0.3">
      <c r="A44">
        <v>0</v>
      </c>
    </row>
    <row r="45" spans="1:1" x14ac:dyDescent="0.3">
      <c r="A45">
        <v>0</v>
      </c>
    </row>
    <row r="46" spans="1:1" x14ac:dyDescent="0.3">
      <c r="A46">
        <v>0</v>
      </c>
    </row>
    <row r="47" spans="1:1" x14ac:dyDescent="0.3">
      <c r="A47">
        <v>2.2999999999999998</v>
      </c>
    </row>
    <row r="48" spans="1:1" x14ac:dyDescent="0.3">
      <c r="A48">
        <v>0.5</v>
      </c>
    </row>
    <row r="49" spans="1:1" x14ac:dyDescent="0.3">
      <c r="A49">
        <v>0</v>
      </c>
    </row>
    <row r="50" spans="1:1" x14ac:dyDescent="0.3">
      <c r="A50">
        <v>0</v>
      </c>
    </row>
    <row r="51" spans="1:1" x14ac:dyDescent="0.3">
      <c r="A51">
        <v>3.3</v>
      </c>
    </row>
    <row r="52" spans="1:1" x14ac:dyDescent="0.3">
      <c r="A52">
        <v>0</v>
      </c>
    </row>
    <row r="53" spans="1:1" x14ac:dyDescent="0.3">
      <c r="A53">
        <v>0</v>
      </c>
    </row>
    <row r="54" spans="1:1" x14ac:dyDescent="0.3">
      <c r="A54">
        <v>0</v>
      </c>
    </row>
    <row r="55" spans="1:1" x14ac:dyDescent="0.3">
      <c r="A55">
        <v>0</v>
      </c>
    </row>
    <row r="56" spans="1:1" x14ac:dyDescent="0.3">
      <c r="A56">
        <v>0</v>
      </c>
    </row>
    <row r="57" spans="1:1" x14ac:dyDescent="0.3">
      <c r="A57">
        <v>0</v>
      </c>
    </row>
    <row r="58" spans="1:1" x14ac:dyDescent="0.3">
      <c r="A58">
        <v>4.8</v>
      </c>
    </row>
    <row r="59" spans="1:1" x14ac:dyDescent="0.3">
      <c r="A59">
        <v>0</v>
      </c>
    </row>
    <row r="60" spans="1:1" x14ac:dyDescent="0.3">
      <c r="A60">
        <v>0</v>
      </c>
    </row>
    <row r="61" spans="1:1" x14ac:dyDescent="0.3">
      <c r="A61">
        <v>23.9</v>
      </c>
    </row>
    <row r="62" spans="1:1" x14ac:dyDescent="0.3">
      <c r="A62">
        <v>2.2999999999999998</v>
      </c>
    </row>
    <row r="63" spans="1:1" x14ac:dyDescent="0.3">
      <c r="A63">
        <v>0</v>
      </c>
    </row>
    <row r="64" spans="1:1" x14ac:dyDescent="0.3">
      <c r="A64">
        <v>6.1</v>
      </c>
    </row>
    <row r="65" spans="1:1" x14ac:dyDescent="0.3">
      <c r="A65">
        <v>0</v>
      </c>
    </row>
    <row r="66" spans="1:1" x14ac:dyDescent="0.3">
      <c r="A66">
        <v>0.3</v>
      </c>
    </row>
    <row r="67" spans="1:1" x14ac:dyDescent="0.3">
      <c r="A67">
        <v>0</v>
      </c>
    </row>
    <row r="68" spans="1:1" x14ac:dyDescent="0.3">
      <c r="A68">
        <v>0</v>
      </c>
    </row>
    <row r="69" spans="1:1" x14ac:dyDescent="0.3">
      <c r="A69">
        <v>0</v>
      </c>
    </row>
    <row r="70" spans="1:1" x14ac:dyDescent="0.3">
      <c r="A70">
        <v>0</v>
      </c>
    </row>
    <row r="71" spans="1:1" x14ac:dyDescent="0.3">
      <c r="A71">
        <v>0</v>
      </c>
    </row>
    <row r="72" spans="1:1" x14ac:dyDescent="0.3">
      <c r="A72">
        <v>0</v>
      </c>
    </row>
    <row r="73" spans="1:1" x14ac:dyDescent="0.3">
      <c r="A73">
        <v>0</v>
      </c>
    </row>
    <row r="74" spans="1:1" x14ac:dyDescent="0.3">
      <c r="A74">
        <v>0</v>
      </c>
    </row>
    <row r="75" spans="1:1" x14ac:dyDescent="0.3">
      <c r="A75">
        <v>0</v>
      </c>
    </row>
    <row r="76" spans="1:1" x14ac:dyDescent="0.3">
      <c r="A76">
        <v>0</v>
      </c>
    </row>
    <row r="77" spans="1:1" x14ac:dyDescent="0.3">
      <c r="A77">
        <v>0</v>
      </c>
    </row>
    <row r="78" spans="1:1" x14ac:dyDescent="0.3">
      <c r="A78">
        <v>0</v>
      </c>
    </row>
    <row r="79" spans="1:1" x14ac:dyDescent="0.3">
      <c r="A79">
        <v>0</v>
      </c>
    </row>
    <row r="80" spans="1:1" x14ac:dyDescent="0.3">
      <c r="A80">
        <v>0</v>
      </c>
    </row>
    <row r="81" spans="1:1" x14ac:dyDescent="0.3">
      <c r="A81">
        <v>0</v>
      </c>
    </row>
    <row r="82" spans="1:1" x14ac:dyDescent="0.3">
      <c r="A82">
        <v>0</v>
      </c>
    </row>
    <row r="83" spans="1:1" x14ac:dyDescent="0.3">
      <c r="A83">
        <v>0</v>
      </c>
    </row>
    <row r="84" spans="1:1" x14ac:dyDescent="0.3">
      <c r="A84">
        <v>0</v>
      </c>
    </row>
    <row r="85" spans="1:1" x14ac:dyDescent="0.3">
      <c r="A85">
        <v>0</v>
      </c>
    </row>
    <row r="86" spans="1:1" x14ac:dyDescent="0.3">
      <c r="A86">
        <v>0</v>
      </c>
    </row>
    <row r="87" spans="1:1" x14ac:dyDescent="0.3">
      <c r="A87">
        <v>1.5</v>
      </c>
    </row>
    <row r="88" spans="1:1" x14ac:dyDescent="0.3">
      <c r="A88">
        <v>0</v>
      </c>
    </row>
    <row r="89" spans="1:1" x14ac:dyDescent="0.3">
      <c r="A89">
        <v>0</v>
      </c>
    </row>
    <row r="90" spans="1:1" x14ac:dyDescent="0.3">
      <c r="A90">
        <v>1.5</v>
      </c>
    </row>
    <row r="91" spans="1:1" x14ac:dyDescent="0.3">
      <c r="A91">
        <v>0</v>
      </c>
    </row>
    <row r="92" spans="1:1" x14ac:dyDescent="0.3">
      <c r="A92">
        <v>0</v>
      </c>
    </row>
    <row r="93" spans="1:1" x14ac:dyDescent="0.3">
      <c r="A93">
        <v>0</v>
      </c>
    </row>
    <row r="94" spans="1:1" x14ac:dyDescent="0.3">
      <c r="A94">
        <v>0</v>
      </c>
    </row>
    <row r="95" spans="1:1" x14ac:dyDescent="0.3">
      <c r="A95">
        <v>1.3</v>
      </c>
    </row>
    <row r="96" spans="1:1" x14ac:dyDescent="0.3">
      <c r="A96">
        <v>0</v>
      </c>
    </row>
    <row r="97" spans="1:1" x14ac:dyDescent="0.3">
      <c r="A97">
        <v>0</v>
      </c>
    </row>
    <row r="98" spans="1:1" x14ac:dyDescent="0.3">
      <c r="A98">
        <v>0</v>
      </c>
    </row>
    <row r="99" spans="1:1" x14ac:dyDescent="0.3">
      <c r="A99">
        <v>0</v>
      </c>
    </row>
    <row r="100" spans="1:1" x14ac:dyDescent="0.3">
      <c r="A100">
        <v>0</v>
      </c>
    </row>
    <row r="101" spans="1:1" x14ac:dyDescent="0.3">
      <c r="A101">
        <v>0</v>
      </c>
    </row>
    <row r="102" spans="1:1" x14ac:dyDescent="0.3">
      <c r="A102">
        <v>0</v>
      </c>
    </row>
    <row r="103" spans="1:1" x14ac:dyDescent="0.3">
      <c r="A103">
        <v>0</v>
      </c>
    </row>
    <row r="104" spans="1:1" x14ac:dyDescent="0.3">
      <c r="A104">
        <v>0</v>
      </c>
    </row>
    <row r="105" spans="1:1" x14ac:dyDescent="0.3">
      <c r="A105">
        <v>0</v>
      </c>
    </row>
    <row r="106" spans="1:1" x14ac:dyDescent="0.3">
      <c r="A106">
        <v>0.5</v>
      </c>
    </row>
    <row r="107" spans="1:1" x14ac:dyDescent="0.3">
      <c r="A107">
        <v>0</v>
      </c>
    </row>
    <row r="108" spans="1:1" x14ac:dyDescent="0.3">
      <c r="A108">
        <v>0</v>
      </c>
    </row>
    <row r="109" spans="1:1" x14ac:dyDescent="0.3">
      <c r="A109">
        <v>2.2999999999999998</v>
      </c>
    </row>
    <row r="110" spans="1:1" x14ac:dyDescent="0.3">
      <c r="A110">
        <v>15.7</v>
      </c>
    </row>
    <row r="111" spans="1:1" x14ac:dyDescent="0.3">
      <c r="A111">
        <v>1</v>
      </c>
    </row>
    <row r="112" spans="1:1" x14ac:dyDescent="0.3">
      <c r="A112">
        <v>12.7</v>
      </c>
    </row>
    <row r="113" spans="1:1" x14ac:dyDescent="0.3">
      <c r="A113">
        <v>0</v>
      </c>
    </row>
    <row r="114" spans="1:1" x14ac:dyDescent="0.3">
      <c r="A114">
        <v>0</v>
      </c>
    </row>
    <row r="115" spans="1:1" x14ac:dyDescent="0.3">
      <c r="A115">
        <v>0</v>
      </c>
    </row>
    <row r="116" spans="1:1" x14ac:dyDescent="0.3">
      <c r="A116">
        <v>0.3</v>
      </c>
    </row>
    <row r="117" spans="1:1" x14ac:dyDescent="0.3">
      <c r="A117">
        <v>0</v>
      </c>
    </row>
    <row r="118" spans="1:1" x14ac:dyDescent="0.3">
      <c r="A118">
        <v>3.6</v>
      </c>
    </row>
    <row r="119" spans="1:1" x14ac:dyDescent="0.3">
      <c r="A119">
        <v>2.2999999999999998</v>
      </c>
    </row>
    <row r="120" spans="1:1" x14ac:dyDescent="0.3">
      <c r="A120">
        <v>0</v>
      </c>
    </row>
    <row r="121" spans="1:1" x14ac:dyDescent="0.3">
      <c r="A121">
        <v>0</v>
      </c>
    </row>
    <row r="122" spans="1:1" x14ac:dyDescent="0.3">
      <c r="A122">
        <v>10.7</v>
      </c>
    </row>
    <row r="123" spans="1:1" x14ac:dyDescent="0.3">
      <c r="A123">
        <v>0</v>
      </c>
    </row>
    <row r="124" spans="1:1" x14ac:dyDescent="0.3">
      <c r="A124">
        <v>0</v>
      </c>
    </row>
    <row r="125" spans="1:1" x14ac:dyDescent="0.3">
      <c r="A125">
        <v>1.5</v>
      </c>
    </row>
    <row r="126" spans="1:1" x14ac:dyDescent="0.3">
      <c r="A126">
        <v>5.3</v>
      </c>
    </row>
    <row r="127" spans="1:1" x14ac:dyDescent="0.3">
      <c r="A127">
        <v>0</v>
      </c>
    </row>
    <row r="128" spans="1:1" x14ac:dyDescent="0.3">
      <c r="A128">
        <v>13</v>
      </c>
    </row>
    <row r="129" spans="1:1" x14ac:dyDescent="0.3">
      <c r="A129">
        <v>0</v>
      </c>
    </row>
    <row r="130" spans="1:1" x14ac:dyDescent="0.3">
      <c r="A130">
        <v>0</v>
      </c>
    </row>
    <row r="131" spans="1:1" x14ac:dyDescent="0.3">
      <c r="A131">
        <v>0</v>
      </c>
    </row>
    <row r="132" spans="1:1" x14ac:dyDescent="0.3">
      <c r="A132">
        <v>1.5</v>
      </c>
    </row>
    <row r="133" spans="1:1" x14ac:dyDescent="0.3">
      <c r="A133">
        <v>6.3</v>
      </c>
    </row>
    <row r="134" spans="1:1" x14ac:dyDescent="0.3">
      <c r="A134">
        <v>4.0999999999999996</v>
      </c>
    </row>
    <row r="135" spans="1:1" x14ac:dyDescent="0.3">
      <c r="A135">
        <v>1.8</v>
      </c>
    </row>
    <row r="136" spans="1:1" x14ac:dyDescent="0.3">
      <c r="A136">
        <v>0</v>
      </c>
    </row>
    <row r="137" spans="1:1" x14ac:dyDescent="0.3">
      <c r="A137">
        <v>0</v>
      </c>
    </row>
    <row r="138" spans="1:1" x14ac:dyDescent="0.3">
      <c r="A138">
        <v>0</v>
      </c>
    </row>
    <row r="139" spans="1:1" x14ac:dyDescent="0.3">
      <c r="A139">
        <v>0</v>
      </c>
    </row>
    <row r="140" spans="1:1" x14ac:dyDescent="0.3">
      <c r="A140">
        <v>0</v>
      </c>
    </row>
    <row r="141" spans="1:1" x14ac:dyDescent="0.3">
      <c r="A141">
        <v>0</v>
      </c>
    </row>
    <row r="142" spans="1:1" x14ac:dyDescent="0.3">
      <c r="A142">
        <v>5.0999999999999996</v>
      </c>
    </row>
    <row r="143" spans="1:1" x14ac:dyDescent="0.3">
      <c r="A143">
        <v>0</v>
      </c>
    </row>
    <row r="144" spans="1:1" x14ac:dyDescent="0.3">
      <c r="A144">
        <v>0</v>
      </c>
    </row>
    <row r="145" spans="1:1" x14ac:dyDescent="0.3">
      <c r="A145">
        <v>0</v>
      </c>
    </row>
    <row r="146" spans="1:1" x14ac:dyDescent="0.3">
      <c r="A146">
        <v>0</v>
      </c>
    </row>
    <row r="147" spans="1:1" x14ac:dyDescent="0.3">
      <c r="A147">
        <v>0</v>
      </c>
    </row>
    <row r="148" spans="1:1" x14ac:dyDescent="0.3">
      <c r="A148">
        <v>0</v>
      </c>
    </row>
    <row r="149" spans="1:1" x14ac:dyDescent="0.3">
      <c r="A149">
        <v>0</v>
      </c>
    </row>
    <row r="150" spans="1:1" x14ac:dyDescent="0.3">
      <c r="A150">
        <v>0</v>
      </c>
    </row>
    <row r="151" spans="1:1" x14ac:dyDescent="0.3">
      <c r="A151">
        <v>21.1</v>
      </c>
    </row>
    <row r="152" spans="1:1" x14ac:dyDescent="0.3">
      <c r="A152">
        <v>0</v>
      </c>
    </row>
    <row r="153" spans="1:1" x14ac:dyDescent="0.3">
      <c r="A153">
        <v>4.8</v>
      </c>
    </row>
    <row r="154" spans="1:1" x14ac:dyDescent="0.3">
      <c r="A154">
        <v>0</v>
      </c>
    </row>
    <row r="155" spans="1:1" x14ac:dyDescent="0.3">
      <c r="A155">
        <v>0</v>
      </c>
    </row>
    <row r="156" spans="1:1" x14ac:dyDescent="0.3">
      <c r="A156">
        <v>0</v>
      </c>
    </row>
    <row r="157" spans="1:1" x14ac:dyDescent="0.3">
      <c r="A157">
        <v>0</v>
      </c>
    </row>
    <row r="158" spans="1:1" x14ac:dyDescent="0.3">
      <c r="A158">
        <v>0</v>
      </c>
    </row>
    <row r="159" spans="1:1" x14ac:dyDescent="0.3">
      <c r="A159">
        <v>0</v>
      </c>
    </row>
    <row r="160" spans="1:1" x14ac:dyDescent="0.3">
      <c r="A160">
        <v>27.9</v>
      </c>
    </row>
    <row r="161" spans="1:1" x14ac:dyDescent="0.3">
      <c r="A161">
        <v>2</v>
      </c>
    </row>
    <row r="162" spans="1:1" x14ac:dyDescent="0.3">
      <c r="A162">
        <v>0</v>
      </c>
    </row>
    <row r="163" spans="1:1" x14ac:dyDescent="0.3">
      <c r="A163">
        <v>0</v>
      </c>
    </row>
    <row r="164" spans="1:1" x14ac:dyDescent="0.3">
      <c r="A164">
        <v>24.1</v>
      </c>
    </row>
    <row r="165" spans="1:1" x14ac:dyDescent="0.3">
      <c r="A165">
        <v>0</v>
      </c>
    </row>
    <row r="166" spans="1:1" x14ac:dyDescent="0.3">
      <c r="A166">
        <v>0</v>
      </c>
    </row>
    <row r="167" spans="1:1" x14ac:dyDescent="0.3">
      <c r="A167">
        <v>0</v>
      </c>
    </row>
    <row r="168" spans="1:1" x14ac:dyDescent="0.3">
      <c r="A168">
        <v>1.5</v>
      </c>
    </row>
    <row r="169" spans="1:1" x14ac:dyDescent="0.3">
      <c r="A169">
        <v>10.9</v>
      </c>
    </row>
    <row r="170" spans="1:1" x14ac:dyDescent="0.3">
      <c r="A170">
        <v>0</v>
      </c>
    </row>
    <row r="171" spans="1:1" x14ac:dyDescent="0.3">
      <c r="A171">
        <v>26.9</v>
      </c>
    </row>
    <row r="172" spans="1:1" x14ac:dyDescent="0.3">
      <c r="A172">
        <v>0.5</v>
      </c>
    </row>
    <row r="173" spans="1:1" x14ac:dyDescent="0.3">
      <c r="A173">
        <v>0</v>
      </c>
    </row>
    <row r="174" spans="1:1" x14ac:dyDescent="0.3">
      <c r="A174">
        <v>0</v>
      </c>
    </row>
    <row r="175" spans="1:1" x14ac:dyDescent="0.3">
      <c r="A175">
        <v>4.8</v>
      </c>
    </row>
    <row r="176" spans="1:1" x14ac:dyDescent="0.3">
      <c r="A176">
        <v>2</v>
      </c>
    </row>
    <row r="177" spans="1:1" x14ac:dyDescent="0.3">
      <c r="A177">
        <v>0</v>
      </c>
    </row>
    <row r="178" spans="1:1" x14ac:dyDescent="0.3">
      <c r="A178">
        <v>0</v>
      </c>
    </row>
    <row r="179" spans="1:1" x14ac:dyDescent="0.3">
      <c r="A179">
        <v>1.8</v>
      </c>
    </row>
    <row r="180" spans="1:1" x14ac:dyDescent="0.3">
      <c r="A180">
        <v>0</v>
      </c>
    </row>
    <row r="181" spans="1:1" x14ac:dyDescent="0.3">
      <c r="A181">
        <v>1.5</v>
      </c>
    </row>
    <row r="182" spans="1:1" x14ac:dyDescent="0.3">
      <c r="A182">
        <v>29</v>
      </c>
    </row>
    <row r="183" spans="1:1" x14ac:dyDescent="0.3">
      <c r="A183">
        <v>0</v>
      </c>
    </row>
    <row r="184" spans="1:1" x14ac:dyDescent="0.3">
      <c r="A184">
        <v>1.3</v>
      </c>
    </row>
    <row r="185" spans="1:1" x14ac:dyDescent="0.3">
      <c r="A185">
        <v>0</v>
      </c>
    </row>
    <row r="186" spans="1:1" x14ac:dyDescent="0.3">
      <c r="A186">
        <v>0</v>
      </c>
    </row>
    <row r="187" spans="1:1" x14ac:dyDescent="0.3">
      <c r="A187">
        <v>0</v>
      </c>
    </row>
    <row r="188" spans="1:1" x14ac:dyDescent="0.3">
      <c r="A188">
        <v>0</v>
      </c>
    </row>
    <row r="189" spans="1:1" x14ac:dyDescent="0.3">
      <c r="A189">
        <v>0</v>
      </c>
    </row>
    <row r="190" spans="1:1" x14ac:dyDescent="0.3">
      <c r="A190">
        <v>30</v>
      </c>
    </row>
    <row r="191" spans="1:1" x14ac:dyDescent="0.3">
      <c r="A191">
        <v>0</v>
      </c>
    </row>
    <row r="192" spans="1:1" x14ac:dyDescent="0.3">
      <c r="A192">
        <v>0.3</v>
      </c>
    </row>
    <row r="193" spans="1:1" x14ac:dyDescent="0.3">
      <c r="A193">
        <v>0</v>
      </c>
    </row>
    <row r="194" spans="1:1" x14ac:dyDescent="0.3">
      <c r="A194">
        <v>0</v>
      </c>
    </row>
    <row r="195" spans="1:1" x14ac:dyDescent="0.3">
      <c r="A195">
        <v>0</v>
      </c>
    </row>
    <row r="196" spans="1:1" x14ac:dyDescent="0.3">
      <c r="A196">
        <v>10.199999999999999</v>
      </c>
    </row>
    <row r="197" spans="1:1" x14ac:dyDescent="0.3">
      <c r="A197">
        <v>0.8</v>
      </c>
    </row>
    <row r="198" spans="1:1" x14ac:dyDescent="0.3">
      <c r="A198">
        <v>0</v>
      </c>
    </row>
    <row r="199" spans="1:1" x14ac:dyDescent="0.3">
      <c r="A199">
        <v>0</v>
      </c>
    </row>
    <row r="200" spans="1:1" x14ac:dyDescent="0.3">
      <c r="A200">
        <v>0</v>
      </c>
    </row>
    <row r="201" spans="1:1" x14ac:dyDescent="0.3">
      <c r="A201">
        <v>17.8</v>
      </c>
    </row>
    <row r="202" spans="1:1" x14ac:dyDescent="0.3">
      <c r="A202">
        <v>10.4</v>
      </c>
    </row>
    <row r="203" spans="1:1" x14ac:dyDescent="0.3">
      <c r="A203">
        <v>0</v>
      </c>
    </row>
    <row r="204" spans="1:1" x14ac:dyDescent="0.3">
      <c r="A204">
        <v>0</v>
      </c>
    </row>
    <row r="205" spans="1:1" x14ac:dyDescent="0.3">
      <c r="A205">
        <v>0</v>
      </c>
    </row>
    <row r="206" spans="1:1" x14ac:dyDescent="0.3">
      <c r="A206">
        <v>0</v>
      </c>
    </row>
    <row r="207" spans="1:1" x14ac:dyDescent="0.3">
      <c r="A207">
        <v>0</v>
      </c>
    </row>
    <row r="208" spans="1:1" x14ac:dyDescent="0.3">
      <c r="A208">
        <v>11.9</v>
      </c>
    </row>
    <row r="209" spans="1:1" x14ac:dyDescent="0.3">
      <c r="A209">
        <v>0.8</v>
      </c>
    </row>
    <row r="210" spans="1:1" x14ac:dyDescent="0.3">
      <c r="A210">
        <v>1</v>
      </c>
    </row>
    <row r="211" spans="1:1" x14ac:dyDescent="0.3">
      <c r="A211">
        <v>0</v>
      </c>
    </row>
    <row r="212" spans="1:1" x14ac:dyDescent="0.3">
      <c r="A212">
        <v>0</v>
      </c>
    </row>
    <row r="213" spans="1:1" x14ac:dyDescent="0.3">
      <c r="A213">
        <v>0</v>
      </c>
    </row>
    <row r="214" spans="1:1" x14ac:dyDescent="0.3">
      <c r="A214">
        <v>0</v>
      </c>
    </row>
    <row r="215" spans="1:1" x14ac:dyDescent="0.3">
      <c r="A215">
        <v>0</v>
      </c>
    </row>
    <row r="216" spans="1:1" x14ac:dyDescent="0.3">
      <c r="A216">
        <v>4.0999999999999996</v>
      </c>
    </row>
    <row r="217" spans="1:1" x14ac:dyDescent="0.3">
      <c r="A217">
        <v>0</v>
      </c>
    </row>
    <row r="218" spans="1:1" x14ac:dyDescent="0.3">
      <c r="A218">
        <v>0</v>
      </c>
    </row>
    <row r="219" spans="1:1" x14ac:dyDescent="0.3">
      <c r="A219">
        <v>0</v>
      </c>
    </row>
    <row r="220" spans="1:1" x14ac:dyDescent="0.3">
      <c r="A220">
        <v>22.1</v>
      </c>
    </row>
    <row r="221" spans="1:1" x14ac:dyDescent="0.3">
      <c r="A221">
        <v>2.8</v>
      </c>
    </row>
    <row r="222" spans="1:1" x14ac:dyDescent="0.3">
      <c r="A222">
        <v>0</v>
      </c>
    </row>
    <row r="223" spans="1:1" x14ac:dyDescent="0.3">
      <c r="A223">
        <v>8.1</v>
      </c>
    </row>
    <row r="224" spans="1:1" x14ac:dyDescent="0.3">
      <c r="A224">
        <v>0</v>
      </c>
    </row>
    <row r="225" spans="1:1" x14ac:dyDescent="0.3">
      <c r="A225">
        <v>0</v>
      </c>
    </row>
    <row r="226" spans="1:1" x14ac:dyDescent="0.3">
      <c r="A226">
        <v>0</v>
      </c>
    </row>
    <row r="227" spans="1:1" x14ac:dyDescent="0.3">
      <c r="A227">
        <v>0</v>
      </c>
    </row>
    <row r="228" spans="1:1" x14ac:dyDescent="0.3">
      <c r="A228">
        <v>0</v>
      </c>
    </row>
    <row r="229" spans="1:1" x14ac:dyDescent="0.3">
      <c r="A229">
        <v>0</v>
      </c>
    </row>
    <row r="230" spans="1:1" x14ac:dyDescent="0.3">
      <c r="A230">
        <v>5.3</v>
      </c>
    </row>
    <row r="231" spans="1:1" x14ac:dyDescent="0.3">
      <c r="A231">
        <v>0</v>
      </c>
    </row>
    <row r="232" spans="1:1" x14ac:dyDescent="0.3">
      <c r="A232">
        <v>10.199999999999999</v>
      </c>
    </row>
    <row r="233" spans="1:1" x14ac:dyDescent="0.3">
      <c r="A233">
        <v>0</v>
      </c>
    </row>
    <row r="234" spans="1:1" x14ac:dyDescent="0.3">
      <c r="A234">
        <v>0</v>
      </c>
    </row>
    <row r="235" spans="1:1" x14ac:dyDescent="0.3">
      <c r="A235">
        <v>0</v>
      </c>
    </row>
    <row r="236" spans="1:1" x14ac:dyDescent="0.3">
      <c r="A236">
        <v>0</v>
      </c>
    </row>
    <row r="237" spans="1:1" x14ac:dyDescent="0.3">
      <c r="A237">
        <v>0</v>
      </c>
    </row>
    <row r="238" spans="1:1" x14ac:dyDescent="0.3">
      <c r="A238">
        <v>0</v>
      </c>
    </row>
    <row r="239" spans="1:1" x14ac:dyDescent="0.3">
      <c r="A239">
        <v>0</v>
      </c>
    </row>
    <row r="240" spans="1:1" x14ac:dyDescent="0.3">
      <c r="A240">
        <v>0</v>
      </c>
    </row>
    <row r="241" spans="1:1" x14ac:dyDescent="0.3">
      <c r="A241">
        <v>0</v>
      </c>
    </row>
    <row r="242" spans="1:1" x14ac:dyDescent="0.3">
      <c r="A242">
        <v>0</v>
      </c>
    </row>
    <row r="243" spans="1:1" x14ac:dyDescent="0.3">
      <c r="A243">
        <v>0</v>
      </c>
    </row>
    <row r="244" spans="1:1" x14ac:dyDescent="0.3">
      <c r="A244">
        <v>0</v>
      </c>
    </row>
    <row r="245" spans="1:1" x14ac:dyDescent="0.3">
      <c r="A245">
        <v>19.600000000000001</v>
      </c>
    </row>
    <row r="246" spans="1:1" x14ac:dyDescent="0.3">
      <c r="A246">
        <v>0.3</v>
      </c>
    </row>
    <row r="247" spans="1:1" x14ac:dyDescent="0.3">
      <c r="A247">
        <v>0</v>
      </c>
    </row>
    <row r="248" spans="1:1" x14ac:dyDescent="0.3">
      <c r="A248">
        <v>1.8</v>
      </c>
    </row>
    <row r="249" spans="1:1" x14ac:dyDescent="0.3">
      <c r="A249">
        <v>0</v>
      </c>
    </row>
    <row r="250" spans="1:1" x14ac:dyDescent="0.3">
      <c r="A250">
        <v>23.4</v>
      </c>
    </row>
    <row r="251" spans="1:1" x14ac:dyDescent="0.3">
      <c r="A251">
        <v>0</v>
      </c>
    </row>
    <row r="252" spans="1:1" x14ac:dyDescent="0.3">
      <c r="A252">
        <v>0.3</v>
      </c>
    </row>
    <row r="253" spans="1:1" x14ac:dyDescent="0.3">
      <c r="A253">
        <v>0</v>
      </c>
    </row>
    <row r="254" spans="1:1" x14ac:dyDescent="0.3">
      <c r="A254">
        <v>0</v>
      </c>
    </row>
    <row r="255" spans="1:1" x14ac:dyDescent="0.3">
      <c r="A255">
        <v>50.3</v>
      </c>
    </row>
    <row r="256" spans="1:1" x14ac:dyDescent="0.3">
      <c r="A256">
        <v>0</v>
      </c>
    </row>
    <row r="257" spans="1:1" x14ac:dyDescent="0.3">
      <c r="A257">
        <v>0</v>
      </c>
    </row>
    <row r="258" spans="1:1" x14ac:dyDescent="0.3">
      <c r="A258">
        <v>0</v>
      </c>
    </row>
    <row r="259" spans="1:1" x14ac:dyDescent="0.3">
      <c r="A259">
        <v>1</v>
      </c>
    </row>
    <row r="260" spans="1:1" x14ac:dyDescent="0.3">
      <c r="A260">
        <v>0</v>
      </c>
    </row>
    <row r="261" spans="1:1" x14ac:dyDescent="0.3">
      <c r="A261">
        <v>0</v>
      </c>
    </row>
    <row r="262" spans="1:1" x14ac:dyDescent="0.3">
      <c r="A262">
        <v>0</v>
      </c>
    </row>
    <row r="263" spans="1:1" x14ac:dyDescent="0.3">
      <c r="A263">
        <v>0</v>
      </c>
    </row>
    <row r="264" spans="1:1" x14ac:dyDescent="0.3">
      <c r="A264">
        <v>0</v>
      </c>
    </row>
    <row r="265" spans="1:1" x14ac:dyDescent="0.3">
      <c r="A265">
        <v>0</v>
      </c>
    </row>
    <row r="266" spans="1:1" x14ac:dyDescent="0.3">
      <c r="A266">
        <v>0</v>
      </c>
    </row>
    <row r="267" spans="1:1" x14ac:dyDescent="0.3">
      <c r="A267">
        <v>0</v>
      </c>
    </row>
    <row r="268" spans="1:1" x14ac:dyDescent="0.3">
      <c r="A268">
        <v>0</v>
      </c>
    </row>
    <row r="269" spans="1:1" x14ac:dyDescent="0.3">
      <c r="A269">
        <v>0</v>
      </c>
    </row>
    <row r="270" spans="1:1" x14ac:dyDescent="0.3">
      <c r="A270">
        <v>0</v>
      </c>
    </row>
    <row r="271" spans="1:1" x14ac:dyDescent="0.3">
      <c r="A271">
        <v>0</v>
      </c>
    </row>
    <row r="272" spans="1:1" x14ac:dyDescent="0.3">
      <c r="A272">
        <v>1</v>
      </c>
    </row>
    <row r="273" spans="1:1" x14ac:dyDescent="0.3">
      <c r="A273">
        <v>4.0999999999999996</v>
      </c>
    </row>
    <row r="274" spans="1:1" x14ac:dyDescent="0.3">
      <c r="A274">
        <v>0</v>
      </c>
    </row>
    <row r="275" spans="1:1" x14ac:dyDescent="0.3">
      <c r="A275">
        <v>10.9</v>
      </c>
    </row>
    <row r="276" spans="1:1" x14ac:dyDescent="0.3">
      <c r="A276">
        <v>11.4</v>
      </c>
    </row>
    <row r="277" spans="1:1" x14ac:dyDescent="0.3">
      <c r="A277">
        <v>0</v>
      </c>
    </row>
    <row r="278" spans="1:1" x14ac:dyDescent="0.3">
      <c r="A278">
        <v>0</v>
      </c>
    </row>
    <row r="279" spans="1:1" x14ac:dyDescent="0.3">
      <c r="A279">
        <v>0</v>
      </c>
    </row>
    <row r="280" spans="1:1" x14ac:dyDescent="0.3">
      <c r="A280">
        <v>0</v>
      </c>
    </row>
    <row r="281" spans="1:1" x14ac:dyDescent="0.3">
      <c r="A281">
        <v>0</v>
      </c>
    </row>
    <row r="282" spans="1:1" x14ac:dyDescent="0.3">
      <c r="A282">
        <v>0</v>
      </c>
    </row>
    <row r="283" spans="1:1" x14ac:dyDescent="0.3">
      <c r="A283">
        <v>1.3</v>
      </c>
    </row>
    <row r="284" spans="1:1" x14ac:dyDescent="0.3">
      <c r="A284">
        <v>2.2999999999999998</v>
      </c>
    </row>
    <row r="285" spans="1:1" x14ac:dyDescent="0.3">
      <c r="A285">
        <v>0</v>
      </c>
    </row>
    <row r="286" spans="1:1" x14ac:dyDescent="0.3">
      <c r="A286">
        <v>0</v>
      </c>
    </row>
    <row r="287" spans="1:1" x14ac:dyDescent="0.3">
      <c r="A287">
        <v>5.8</v>
      </c>
    </row>
    <row r="288" spans="1:1" x14ac:dyDescent="0.3">
      <c r="A288">
        <v>0</v>
      </c>
    </row>
    <row r="289" spans="1:1" x14ac:dyDescent="0.3">
      <c r="A289">
        <v>0</v>
      </c>
    </row>
    <row r="290" spans="1:1" x14ac:dyDescent="0.3">
      <c r="A290">
        <v>0</v>
      </c>
    </row>
    <row r="291" spans="1:1" x14ac:dyDescent="0.3">
      <c r="A291">
        <v>0</v>
      </c>
    </row>
    <row r="292" spans="1:1" x14ac:dyDescent="0.3">
      <c r="A292">
        <v>0</v>
      </c>
    </row>
    <row r="293" spans="1:1" x14ac:dyDescent="0.3">
      <c r="A293">
        <v>0</v>
      </c>
    </row>
    <row r="294" spans="1:1" x14ac:dyDescent="0.3">
      <c r="A294">
        <v>0</v>
      </c>
    </row>
    <row r="295" spans="1:1" x14ac:dyDescent="0.3">
      <c r="A295">
        <v>0</v>
      </c>
    </row>
    <row r="296" spans="1:1" x14ac:dyDescent="0.3">
      <c r="A296">
        <v>2</v>
      </c>
    </row>
    <row r="297" spans="1:1" x14ac:dyDescent="0.3">
      <c r="A297">
        <v>4.8</v>
      </c>
    </row>
    <row r="298" spans="1:1" x14ac:dyDescent="0.3">
      <c r="A298">
        <v>9.1</v>
      </c>
    </row>
    <row r="299" spans="1:1" x14ac:dyDescent="0.3">
      <c r="A299">
        <v>0</v>
      </c>
    </row>
    <row r="300" spans="1:1" x14ac:dyDescent="0.3">
      <c r="A300">
        <v>0</v>
      </c>
    </row>
    <row r="301" spans="1:1" x14ac:dyDescent="0.3">
      <c r="A301">
        <v>0</v>
      </c>
    </row>
    <row r="302" spans="1:1" x14ac:dyDescent="0.3">
      <c r="A302">
        <v>0</v>
      </c>
    </row>
    <row r="303" spans="1:1" x14ac:dyDescent="0.3">
      <c r="A303">
        <v>0</v>
      </c>
    </row>
    <row r="304" spans="1:1" x14ac:dyDescent="0.3">
      <c r="A304">
        <v>0</v>
      </c>
    </row>
    <row r="305" spans="1:1" x14ac:dyDescent="0.3">
      <c r="A305">
        <v>0</v>
      </c>
    </row>
    <row r="306" spans="1:1" x14ac:dyDescent="0.3">
      <c r="A306">
        <v>0</v>
      </c>
    </row>
    <row r="307" spans="1:1" x14ac:dyDescent="0.3">
      <c r="A307">
        <v>0</v>
      </c>
    </row>
    <row r="308" spans="1:1" x14ac:dyDescent="0.3">
      <c r="A308">
        <v>0</v>
      </c>
    </row>
    <row r="309" spans="1:1" x14ac:dyDescent="0.3">
      <c r="A309">
        <v>0</v>
      </c>
    </row>
    <row r="310" spans="1:1" x14ac:dyDescent="0.3">
      <c r="A310">
        <v>0</v>
      </c>
    </row>
    <row r="311" spans="1:1" x14ac:dyDescent="0.3">
      <c r="A311">
        <v>0.5</v>
      </c>
    </row>
    <row r="312" spans="1:1" x14ac:dyDescent="0.3">
      <c r="A312">
        <v>0</v>
      </c>
    </row>
    <row r="313" spans="1:1" x14ac:dyDescent="0.3">
      <c r="A313">
        <v>0</v>
      </c>
    </row>
    <row r="314" spans="1:1" x14ac:dyDescent="0.3">
      <c r="A314">
        <v>0</v>
      </c>
    </row>
    <row r="315" spans="1:1" x14ac:dyDescent="0.3">
      <c r="A315">
        <v>0</v>
      </c>
    </row>
    <row r="316" spans="1:1" x14ac:dyDescent="0.3">
      <c r="A316">
        <v>2.2999999999999998</v>
      </c>
    </row>
    <row r="317" spans="1:1" x14ac:dyDescent="0.3">
      <c r="A317">
        <v>0</v>
      </c>
    </row>
    <row r="318" spans="1:1" x14ac:dyDescent="0.3">
      <c r="A318">
        <v>0</v>
      </c>
    </row>
    <row r="319" spans="1:1" x14ac:dyDescent="0.3">
      <c r="A319">
        <v>0</v>
      </c>
    </row>
    <row r="320" spans="1:1" x14ac:dyDescent="0.3">
      <c r="A320">
        <v>0.8</v>
      </c>
    </row>
    <row r="321" spans="1:1" x14ac:dyDescent="0.3">
      <c r="A321">
        <v>2</v>
      </c>
    </row>
    <row r="322" spans="1:1" x14ac:dyDescent="0.3">
      <c r="A322">
        <v>0</v>
      </c>
    </row>
    <row r="323" spans="1:1" x14ac:dyDescent="0.3">
      <c r="A323">
        <v>0</v>
      </c>
    </row>
    <row r="324" spans="1:1" x14ac:dyDescent="0.3">
      <c r="A324">
        <v>0</v>
      </c>
    </row>
    <row r="325" spans="1:1" x14ac:dyDescent="0.3">
      <c r="A325">
        <v>5.8</v>
      </c>
    </row>
    <row r="326" spans="1:1" x14ac:dyDescent="0.3">
      <c r="A326">
        <v>0</v>
      </c>
    </row>
    <row r="327" spans="1:1" x14ac:dyDescent="0.3">
      <c r="A327">
        <v>0</v>
      </c>
    </row>
    <row r="328" spans="1:1" x14ac:dyDescent="0.3">
      <c r="A328">
        <v>0</v>
      </c>
    </row>
    <row r="329" spans="1:1" x14ac:dyDescent="0.3">
      <c r="A329">
        <v>1.5</v>
      </c>
    </row>
    <row r="330" spans="1:1" x14ac:dyDescent="0.3">
      <c r="A330">
        <v>0</v>
      </c>
    </row>
    <row r="331" spans="1:1" x14ac:dyDescent="0.3">
      <c r="A331">
        <v>0</v>
      </c>
    </row>
    <row r="332" spans="1:1" x14ac:dyDescent="0.3">
      <c r="A332">
        <v>20.6</v>
      </c>
    </row>
    <row r="333" spans="1:1" x14ac:dyDescent="0.3">
      <c r="A333">
        <v>2</v>
      </c>
    </row>
    <row r="334" spans="1:1" x14ac:dyDescent="0.3">
      <c r="A334">
        <v>0</v>
      </c>
    </row>
    <row r="335" spans="1:1" x14ac:dyDescent="0.3">
      <c r="A335">
        <v>0</v>
      </c>
    </row>
    <row r="336" spans="1:1" x14ac:dyDescent="0.3">
      <c r="A336">
        <v>0</v>
      </c>
    </row>
    <row r="337" spans="1:1" x14ac:dyDescent="0.3">
      <c r="A337">
        <v>0</v>
      </c>
    </row>
    <row r="338" spans="1:1" x14ac:dyDescent="0.3">
      <c r="A338">
        <v>0</v>
      </c>
    </row>
    <row r="339" spans="1:1" x14ac:dyDescent="0.3">
      <c r="A339">
        <v>7.1</v>
      </c>
    </row>
    <row r="340" spans="1:1" x14ac:dyDescent="0.3">
      <c r="A340">
        <v>0.5</v>
      </c>
    </row>
    <row r="341" spans="1:1" x14ac:dyDescent="0.3">
      <c r="A341">
        <v>0</v>
      </c>
    </row>
    <row r="342" spans="1:1" x14ac:dyDescent="0.3">
      <c r="A342">
        <v>0</v>
      </c>
    </row>
    <row r="343" spans="1:1" x14ac:dyDescent="0.3">
      <c r="A343">
        <v>0</v>
      </c>
    </row>
    <row r="344" spans="1:1" x14ac:dyDescent="0.3">
      <c r="A344">
        <v>0</v>
      </c>
    </row>
    <row r="345" spans="1:1" x14ac:dyDescent="0.3">
      <c r="A345">
        <v>0</v>
      </c>
    </row>
    <row r="346" spans="1:1" x14ac:dyDescent="0.3">
      <c r="A346">
        <v>5.6</v>
      </c>
    </row>
    <row r="347" spans="1:1" x14ac:dyDescent="0.3">
      <c r="A347">
        <v>0</v>
      </c>
    </row>
    <row r="348" spans="1:1" x14ac:dyDescent="0.3">
      <c r="A348">
        <v>36.299999999999997</v>
      </c>
    </row>
    <row r="349" spans="1:1" x14ac:dyDescent="0.3">
      <c r="A349">
        <v>4.0999999999999996</v>
      </c>
    </row>
    <row r="350" spans="1:1" x14ac:dyDescent="0.3">
      <c r="A350">
        <v>0.3</v>
      </c>
    </row>
    <row r="351" spans="1:1" x14ac:dyDescent="0.3">
      <c r="A351">
        <v>0</v>
      </c>
    </row>
    <row r="352" spans="1:1" x14ac:dyDescent="0.3">
      <c r="A352">
        <v>0</v>
      </c>
    </row>
    <row r="353" spans="1:1" x14ac:dyDescent="0.3">
      <c r="A353">
        <v>0</v>
      </c>
    </row>
    <row r="354" spans="1:1" x14ac:dyDescent="0.3">
      <c r="A354">
        <v>0</v>
      </c>
    </row>
    <row r="355" spans="1:1" x14ac:dyDescent="0.3">
      <c r="A355">
        <v>0</v>
      </c>
    </row>
    <row r="356" spans="1:1" x14ac:dyDescent="0.3">
      <c r="A356">
        <v>3</v>
      </c>
    </row>
    <row r="357" spans="1:1" x14ac:dyDescent="0.3">
      <c r="A357">
        <v>0</v>
      </c>
    </row>
    <row r="358" spans="1:1" x14ac:dyDescent="0.3">
      <c r="A358">
        <v>1.8</v>
      </c>
    </row>
    <row r="359" spans="1:1" x14ac:dyDescent="0.3">
      <c r="A359">
        <v>0</v>
      </c>
    </row>
    <row r="360" spans="1:1" x14ac:dyDescent="0.3">
      <c r="A360">
        <v>0</v>
      </c>
    </row>
    <row r="361" spans="1:1" x14ac:dyDescent="0.3">
      <c r="A361">
        <v>0</v>
      </c>
    </row>
    <row r="362" spans="1:1" x14ac:dyDescent="0.3">
      <c r="A362">
        <v>0.3</v>
      </c>
    </row>
    <row r="363" spans="1:1" x14ac:dyDescent="0.3">
      <c r="A363">
        <v>0</v>
      </c>
    </row>
    <row r="364" spans="1:1" x14ac:dyDescent="0.3">
      <c r="A364">
        <v>0</v>
      </c>
    </row>
    <row r="365" spans="1:1" x14ac:dyDescent="0.3">
      <c r="A365">
        <v>0</v>
      </c>
    </row>
    <row r="366" spans="1:1" x14ac:dyDescent="0.3">
      <c r="A366">
        <v>0</v>
      </c>
    </row>
    <row r="367" spans="1:1" x14ac:dyDescent="0.3">
      <c r="A367">
        <v>0</v>
      </c>
    </row>
    <row r="368" spans="1:1" x14ac:dyDescent="0.3">
      <c r="A368">
        <v>0</v>
      </c>
    </row>
    <row r="369" spans="1:1" x14ac:dyDescent="0.3">
      <c r="A369">
        <v>0</v>
      </c>
    </row>
    <row r="370" spans="1:1" x14ac:dyDescent="0.3">
      <c r="A370">
        <v>0</v>
      </c>
    </row>
    <row r="371" spans="1:1" x14ac:dyDescent="0.3">
      <c r="A371">
        <v>0</v>
      </c>
    </row>
    <row r="372" spans="1:1" x14ac:dyDescent="0.3">
      <c r="A372">
        <v>1</v>
      </c>
    </row>
    <row r="373" spans="1:1" x14ac:dyDescent="0.3">
      <c r="A373">
        <v>9.1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37"/>
  <sheetViews>
    <sheetView topLeftCell="A16" workbookViewId="0">
      <selection activeCell="G21" sqref="G21"/>
    </sheetView>
  </sheetViews>
  <sheetFormatPr defaultRowHeight="14.4" x14ac:dyDescent="0.3"/>
  <sheetData>
    <row r="1" spans="1:6" x14ac:dyDescent="0.3">
      <c r="A1" s="1" t="s">
        <v>18</v>
      </c>
    </row>
    <row r="5" spans="1:6" x14ac:dyDescent="0.3">
      <c r="A5" s="1" t="s">
        <v>12</v>
      </c>
    </row>
    <row r="6" spans="1:6" x14ac:dyDescent="0.3">
      <c r="A6" t="s">
        <v>13</v>
      </c>
    </row>
    <row r="7" spans="1:6" x14ac:dyDescent="0.3">
      <c r="A7" t="s">
        <v>14</v>
      </c>
    </row>
    <row r="9" spans="1:6" ht="57.6" x14ac:dyDescent="0.3">
      <c r="A9" s="2" t="s">
        <v>22</v>
      </c>
      <c r="B9" s="2" t="s">
        <v>19</v>
      </c>
      <c r="C9" s="2" t="s">
        <v>20</v>
      </c>
      <c r="D9" s="2" t="s">
        <v>21</v>
      </c>
      <c r="E9" s="2" t="s">
        <v>42</v>
      </c>
      <c r="F9" s="2" t="s">
        <v>43</v>
      </c>
    </row>
    <row r="10" spans="1:6" x14ac:dyDescent="0.3">
      <c r="A10">
        <v>5</v>
      </c>
      <c r="B10">
        <v>0.22800000000000001</v>
      </c>
      <c r="C10">
        <v>0.38500000000000001</v>
      </c>
      <c r="D10">
        <v>0.48099999999999998</v>
      </c>
      <c r="E10">
        <v>0.3</v>
      </c>
      <c r="F10">
        <v>4</v>
      </c>
    </row>
    <row r="11" spans="1:6" x14ac:dyDescent="0.3">
      <c r="A11">
        <v>15</v>
      </c>
      <c r="B11">
        <v>0.22800000000000001</v>
      </c>
      <c r="C11">
        <v>0.38500000000000001</v>
      </c>
      <c r="D11">
        <v>0.48099999999999998</v>
      </c>
      <c r="E11">
        <v>0.3</v>
      </c>
      <c r="F11">
        <v>3.8</v>
      </c>
    </row>
    <row r="12" spans="1:6" x14ac:dyDescent="0.3">
      <c r="A12">
        <v>30</v>
      </c>
      <c r="B12">
        <v>0.249</v>
      </c>
      <c r="C12">
        <v>0.40600000000000003</v>
      </c>
      <c r="D12">
        <v>0.48199999999999998</v>
      </c>
      <c r="E12">
        <v>0.3</v>
      </c>
      <c r="F12">
        <v>3.5</v>
      </c>
    </row>
    <row r="13" spans="1:6" x14ac:dyDescent="0.3">
      <c r="A13">
        <v>45</v>
      </c>
      <c r="B13">
        <v>0.249</v>
      </c>
      <c r="C13">
        <v>0.40600000000000003</v>
      </c>
      <c r="D13">
        <v>0.46500000000000002</v>
      </c>
      <c r="E13">
        <v>0.3</v>
      </c>
      <c r="F13">
        <v>3.2</v>
      </c>
    </row>
    <row r="14" spans="1:6" x14ac:dyDescent="0.3">
      <c r="A14">
        <v>60</v>
      </c>
      <c r="B14">
        <v>0.249</v>
      </c>
      <c r="C14">
        <v>0.40600000000000003</v>
      </c>
      <c r="D14">
        <v>0.46500000000000002</v>
      </c>
      <c r="E14">
        <v>0.3</v>
      </c>
      <c r="F14">
        <v>3</v>
      </c>
    </row>
    <row r="15" spans="1:6" x14ac:dyDescent="0.3">
      <c r="A15">
        <v>90</v>
      </c>
      <c r="B15">
        <v>0.308</v>
      </c>
      <c r="C15">
        <v>0.45600000000000002</v>
      </c>
      <c r="D15">
        <v>0.46800000000000003</v>
      </c>
      <c r="E15">
        <v>0.3</v>
      </c>
      <c r="F15">
        <v>2.5</v>
      </c>
    </row>
    <row r="16" spans="1:6" x14ac:dyDescent="0.3">
      <c r="A16">
        <v>120</v>
      </c>
      <c r="B16">
        <v>0.20699999999999999</v>
      </c>
      <c r="C16">
        <v>0.34100000000000003</v>
      </c>
      <c r="D16">
        <v>0.45200000000000001</v>
      </c>
      <c r="E16">
        <v>0.3</v>
      </c>
      <c r="F16">
        <v>2</v>
      </c>
    </row>
    <row r="17" spans="1:6" x14ac:dyDescent="0.3">
      <c r="A17">
        <v>150</v>
      </c>
      <c r="B17">
        <v>0.24299999999999999</v>
      </c>
      <c r="C17">
        <v>0.36499999999999999</v>
      </c>
      <c r="D17">
        <v>0.45500000000000002</v>
      </c>
      <c r="E17">
        <v>0.3</v>
      </c>
      <c r="F17">
        <v>1</v>
      </c>
    </row>
    <row r="18" spans="1:6" x14ac:dyDescent="0.3">
      <c r="A18">
        <v>180</v>
      </c>
      <c r="B18">
        <v>0.25900000000000001</v>
      </c>
      <c r="C18">
        <v>0.36099999999999999</v>
      </c>
      <c r="D18">
        <v>0.45700000000000002</v>
      </c>
      <c r="E18">
        <v>0.3</v>
      </c>
      <c r="F18">
        <v>0</v>
      </c>
    </row>
    <row r="19" spans="1:6" x14ac:dyDescent="0.3">
      <c r="A19">
        <v>210</v>
      </c>
      <c r="B19">
        <v>0.25900000000000001</v>
      </c>
      <c r="C19">
        <v>0.36099999999999999</v>
      </c>
      <c r="D19">
        <v>0.45700000000000002</v>
      </c>
      <c r="E19">
        <v>0.3</v>
      </c>
      <c r="F19">
        <v>0</v>
      </c>
    </row>
    <row r="23" spans="1:6" x14ac:dyDescent="0.3">
      <c r="A23" s="1" t="s">
        <v>15</v>
      </c>
    </row>
    <row r="24" spans="1:6" x14ac:dyDescent="0.3">
      <c r="A24" t="s">
        <v>17</v>
      </c>
    </row>
    <row r="25" spans="1:6" x14ac:dyDescent="0.3">
      <c r="A25" t="s">
        <v>16</v>
      </c>
    </row>
    <row r="27" spans="1:6" ht="57.6" x14ac:dyDescent="0.3">
      <c r="A27" s="2" t="s">
        <v>22</v>
      </c>
      <c r="B27" s="2" t="s">
        <v>19</v>
      </c>
      <c r="C27" s="2" t="s">
        <v>20</v>
      </c>
      <c r="D27" s="2" t="s">
        <v>21</v>
      </c>
      <c r="E27" s="2" t="s">
        <v>42</v>
      </c>
      <c r="F27" s="2" t="s">
        <v>43</v>
      </c>
    </row>
    <row r="28" spans="1:6" x14ac:dyDescent="0.3">
      <c r="A28">
        <v>5</v>
      </c>
      <c r="B28">
        <v>2.5000000000000001E-2</v>
      </c>
      <c r="C28">
        <v>9.6000000000000002E-2</v>
      </c>
      <c r="D28">
        <v>0.34499999999999997</v>
      </c>
      <c r="E28">
        <v>0.09</v>
      </c>
      <c r="F28">
        <v>4</v>
      </c>
    </row>
    <row r="29" spans="1:6" x14ac:dyDescent="0.3">
      <c r="A29">
        <v>15</v>
      </c>
      <c r="B29">
        <v>2.5000000000000001E-2</v>
      </c>
      <c r="C29">
        <v>9.6000000000000002E-2</v>
      </c>
      <c r="D29">
        <v>0.34499999999999997</v>
      </c>
      <c r="E29">
        <v>0.09</v>
      </c>
      <c r="F29">
        <v>3.8</v>
      </c>
    </row>
    <row r="30" spans="1:6" x14ac:dyDescent="0.3">
      <c r="A30">
        <v>30</v>
      </c>
      <c r="B30">
        <v>2.3E-2</v>
      </c>
      <c r="C30">
        <v>9.7000000000000003E-2</v>
      </c>
      <c r="D30">
        <v>0.34499999999999997</v>
      </c>
      <c r="E30">
        <v>0.09</v>
      </c>
      <c r="F30">
        <v>3.5</v>
      </c>
    </row>
    <row r="31" spans="1:6" x14ac:dyDescent="0.3">
      <c r="A31">
        <v>45</v>
      </c>
      <c r="B31">
        <v>2.3E-2</v>
      </c>
      <c r="C31">
        <v>9.7000000000000003E-2</v>
      </c>
      <c r="D31">
        <v>0.34499999999999997</v>
      </c>
      <c r="E31">
        <v>0.09</v>
      </c>
      <c r="F31">
        <v>3.2</v>
      </c>
    </row>
    <row r="32" spans="1:6" x14ac:dyDescent="0.3">
      <c r="A32">
        <v>60</v>
      </c>
      <c r="B32">
        <v>2.3E-2</v>
      </c>
      <c r="C32">
        <v>9.7000000000000003E-2</v>
      </c>
      <c r="D32">
        <v>0.34499999999999997</v>
      </c>
      <c r="E32">
        <v>0.09</v>
      </c>
      <c r="F32">
        <v>3</v>
      </c>
    </row>
    <row r="33" spans="1:6" x14ac:dyDescent="0.3">
      <c r="A33">
        <v>90</v>
      </c>
      <c r="B33">
        <v>1.7999999999999999E-2</v>
      </c>
      <c r="C33">
        <v>9.0999999999999998E-2</v>
      </c>
      <c r="D33">
        <v>0.34599999999999997</v>
      </c>
      <c r="E33">
        <v>0.09</v>
      </c>
      <c r="F33">
        <v>2.5</v>
      </c>
    </row>
    <row r="34" spans="1:6" x14ac:dyDescent="0.3">
      <c r="A34">
        <v>120</v>
      </c>
      <c r="B34">
        <v>0.02</v>
      </c>
      <c r="C34">
        <v>9.5000000000000001E-2</v>
      </c>
      <c r="D34">
        <v>0.34599999999999997</v>
      </c>
      <c r="E34">
        <v>0.09</v>
      </c>
      <c r="F34">
        <v>2</v>
      </c>
    </row>
    <row r="35" spans="1:6" x14ac:dyDescent="0.3">
      <c r="A35">
        <v>150</v>
      </c>
      <c r="B35">
        <v>2.1000000000000001E-2</v>
      </c>
      <c r="C35">
        <v>9.0999999999999998E-2</v>
      </c>
      <c r="D35">
        <v>0.34699999999999998</v>
      </c>
      <c r="E35">
        <v>0.09</v>
      </c>
      <c r="F35">
        <v>1</v>
      </c>
    </row>
    <row r="36" spans="1:6" x14ac:dyDescent="0.3">
      <c r="A36">
        <v>180</v>
      </c>
      <c r="B36">
        <v>2.1000000000000001E-2</v>
      </c>
      <c r="C36">
        <v>9.0999999999999998E-2</v>
      </c>
      <c r="D36">
        <v>0.34699999999999998</v>
      </c>
      <c r="E36">
        <v>0.09</v>
      </c>
      <c r="F36">
        <v>0</v>
      </c>
    </row>
    <row r="37" spans="1:6" x14ac:dyDescent="0.3">
      <c r="A37">
        <v>210</v>
      </c>
      <c r="B37">
        <v>2.1000000000000001E-2</v>
      </c>
      <c r="C37">
        <v>9.0999999999999998E-2</v>
      </c>
      <c r="D37">
        <v>0.34699999999999998</v>
      </c>
      <c r="E37">
        <v>0.09</v>
      </c>
      <c r="F37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374"/>
  <sheetViews>
    <sheetView workbookViewId="0">
      <selection activeCell="E10" sqref="E10:E374"/>
    </sheetView>
  </sheetViews>
  <sheetFormatPr defaultRowHeight="14.4" x14ac:dyDescent="0.3"/>
  <cols>
    <col min="2" max="2" width="11.33203125" customWidth="1"/>
    <col min="3" max="3" width="10.44140625" customWidth="1"/>
  </cols>
  <sheetData>
    <row r="1" spans="1:10" x14ac:dyDescent="0.3">
      <c r="A1" t="s">
        <v>4</v>
      </c>
    </row>
    <row r="6" spans="1:10" x14ac:dyDescent="0.3">
      <c r="A6" t="s">
        <v>0</v>
      </c>
      <c r="C6" t="s">
        <v>1</v>
      </c>
      <c r="D6" t="s">
        <v>2</v>
      </c>
      <c r="E6" t="s">
        <v>6</v>
      </c>
    </row>
    <row r="7" spans="1:10" x14ac:dyDescent="0.3">
      <c r="A7" t="s">
        <v>7</v>
      </c>
      <c r="B7" t="s">
        <v>5</v>
      </c>
      <c r="C7">
        <v>41.85</v>
      </c>
      <c r="D7">
        <v>94.117000000000004</v>
      </c>
      <c r="E7">
        <v>294</v>
      </c>
    </row>
    <row r="8" spans="1:10" x14ac:dyDescent="0.3">
      <c r="H8" t="s">
        <v>44</v>
      </c>
      <c r="J8" t="s">
        <v>59</v>
      </c>
    </row>
    <row r="9" spans="1:10" ht="28.8" x14ac:dyDescent="0.3">
      <c r="A9" t="s">
        <v>3</v>
      </c>
      <c r="B9" t="s">
        <v>8</v>
      </c>
      <c r="C9" t="s">
        <v>9</v>
      </c>
      <c r="D9" t="s">
        <v>10</v>
      </c>
      <c r="E9" t="s">
        <v>11</v>
      </c>
      <c r="H9" s="2" t="s">
        <v>33</v>
      </c>
      <c r="J9" t="s">
        <v>11</v>
      </c>
    </row>
    <row r="10" spans="1:10" x14ac:dyDescent="0.3">
      <c r="A10">
        <v>94001</v>
      </c>
      <c r="B10">
        <v>2.8</v>
      </c>
      <c r="C10">
        <v>6.1</v>
      </c>
      <c r="D10">
        <v>-6.7</v>
      </c>
      <c r="E10">
        <v>0</v>
      </c>
      <c r="H10">
        <f>E10*2</f>
        <v>0</v>
      </c>
      <c r="J10">
        <v>0</v>
      </c>
    </row>
    <row r="11" spans="1:10" x14ac:dyDescent="0.3">
      <c r="A11">
        <v>94002</v>
      </c>
      <c r="B11">
        <v>2.7</v>
      </c>
      <c r="C11">
        <v>-1.1000000000000001</v>
      </c>
      <c r="D11">
        <v>-7.2</v>
      </c>
      <c r="E11">
        <v>10.7</v>
      </c>
      <c r="H11">
        <f t="shared" ref="H11:H74" si="0">E11*2</f>
        <v>21.4</v>
      </c>
      <c r="J11">
        <v>10.7</v>
      </c>
    </row>
    <row r="12" spans="1:10" x14ac:dyDescent="0.3">
      <c r="A12">
        <v>94003</v>
      </c>
      <c r="B12">
        <v>3.9</v>
      </c>
      <c r="C12">
        <v>-6.7</v>
      </c>
      <c r="D12">
        <v>-15.6</v>
      </c>
      <c r="E12">
        <v>0.3</v>
      </c>
      <c r="H12">
        <f t="shared" si="0"/>
        <v>0.6</v>
      </c>
      <c r="J12">
        <v>0.3</v>
      </c>
    </row>
    <row r="13" spans="1:10" x14ac:dyDescent="0.3">
      <c r="A13">
        <v>94004</v>
      </c>
      <c r="B13">
        <v>6.6</v>
      </c>
      <c r="C13">
        <v>-6.7</v>
      </c>
      <c r="D13">
        <v>-9.4</v>
      </c>
      <c r="E13">
        <v>0</v>
      </c>
      <c r="H13">
        <f t="shared" si="0"/>
        <v>0</v>
      </c>
      <c r="J13">
        <v>0</v>
      </c>
    </row>
    <row r="14" spans="1:10" x14ac:dyDescent="0.3">
      <c r="A14">
        <v>94005</v>
      </c>
      <c r="B14">
        <v>3.8</v>
      </c>
      <c r="C14">
        <v>-3.3</v>
      </c>
      <c r="D14">
        <v>-11.1</v>
      </c>
      <c r="E14">
        <v>0</v>
      </c>
      <c r="H14">
        <f t="shared" si="0"/>
        <v>0</v>
      </c>
      <c r="J14">
        <v>0</v>
      </c>
    </row>
    <row r="15" spans="1:10" x14ac:dyDescent="0.3">
      <c r="A15">
        <v>94006</v>
      </c>
      <c r="B15">
        <v>5.8</v>
      </c>
      <c r="C15">
        <v>-2.8</v>
      </c>
      <c r="D15">
        <v>-21.1</v>
      </c>
      <c r="E15">
        <v>0</v>
      </c>
      <c r="H15">
        <f t="shared" si="0"/>
        <v>0</v>
      </c>
      <c r="J15">
        <v>0</v>
      </c>
    </row>
    <row r="16" spans="1:10" x14ac:dyDescent="0.3">
      <c r="A16">
        <v>94007</v>
      </c>
      <c r="B16">
        <v>8.6999999999999993</v>
      </c>
      <c r="C16">
        <v>-15.6</v>
      </c>
      <c r="D16">
        <v>-23.3</v>
      </c>
      <c r="E16">
        <v>0</v>
      </c>
      <c r="H16">
        <f t="shared" si="0"/>
        <v>0</v>
      </c>
      <c r="J16">
        <v>0</v>
      </c>
    </row>
    <row r="17" spans="1:10" x14ac:dyDescent="0.3">
      <c r="A17">
        <v>94008</v>
      </c>
      <c r="B17">
        <v>5.7</v>
      </c>
      <c r="C17">
        <v>-10.6</v>
      </c>
      <c r="D17">
        <v>-22.8</v>
      </c>
      <c r="E17">
        <v>0</v>
      </c>
      <c r="H17">
        <f t="shared" si="0"/>
        <v>0</v>
      </c>
      <c r="J17">
        <v>0</v>
      </c>
    </row>
    <row r="18" spans="1:10" x14ac:dyDescent="0.3">
      <c r="A18">
        <v>94009</v>
      </c>
      <c r="B18">
        <v>5.8</v>
      </c>
      <c r="C18">
        <v>-6.1</v>
      </c>
      <c r="D18">
        <v>-17.2</v>
      </c>
      <c r="E18">
        <v>0</v>
      </c>
      <c r="H18">
        <f t="shared" si="0"/>
        <v>0</v>
      </c>
      <c r="J18">
        <v>0</v>
      </c>
    </row>
    <row r="19" spans="1:10" x14ac:dyDescent="0.3">
      <c r="A19">
        <v>94010</v>
      </c>
      <c r="B19">
        <v>4.7</v>
      </c>
      <c r="C19">
        <v>1.7</v>
      </c>
      <c r="D19">
        <v>-6.1</v>
      </c>
      <c r="E19">
        <v>1.3</v>
      </c>
      <c r="H19">
        <f t="shared" si="0"/>
        <v>2.6</v>
      </c>
      <c r="J19">
        <v>1.3</v>
      </c>
    </row>
    <row r="20" spans="1:10" x14ac:dyDescent="0.3">
      <c r="A20">
        <v>94011</v>
      </c>
      <c r="B20">
        <v>8.8000000000000007</v>
      </c>
      <c r="C20">
        <v>-5.6</v>
      </c>
      <c r="D20">
        <v>-15</v>
      </c>
      <c r="E20">
        <v>0</v>
      </c>
      <c r="H20">
        <f t="shared" si="0"/>
        <v>0</v>
      </c>
      <c r="J20">
        <v>0</v>
      </c>
    </row>
    <row r="21" spans="1:10" x14ac:dyDescent="0.3">
      <c r="A21">
        <v>94012</v>
      </c>
      <c r="B21">
        <v>5.8</v>
      </c>
      <c r="C21">
        <v>0.6</v>
      </c>
      <c r="D21">
        <v>-10.6</v>
      </c>
      <c r="E21">
        <v>0.3</v>
      </c>
      <c r="H21">
        <f t="shared" si="0"/>
        <v>0.6</v>
      </c>
      <c r="J21">
        <v>0.3</v>
      </c>
    </row>
    <row r="22" spans="1:10" x14ac:dyDescent="0.3">
      <c r="A22">
        <v>94013</v>
      </c>
      <c r="B22">
        <v>6.5</v>
      </c>
      <c r="C22">
        <v>-8.3000000000000007</v>
      </c>
      <c r="D22">
        <v>-17.8</v>
      </c>
      <c r="E22">
        <v>2.5</v>
      </c>
      <c r="H22">
        <f t="shared" si="0"/>
        <v>5</v>
      </c>
      <c r="J22">
        <v>2.5</v>
      </c>
    </row>
    <row r="23" spans="1:10" x14ac:dyDescent="0.3">
      <c r="A23">
        <v>94014</v>
      </c>
      <c r="B23">
        <v>9.1999999999999993</v>
      </c>
      <c r="C23">
        <v>-17.2</v>
      </c>
      <c r="D23">
        <v>-22.2</v>
      </c>
      <c r="E23">
        <v>0</v>
      </c>
      <c r="H23">
        <f t="shared" si="0"/>
        <v>0</v>
      </c>
      <c r="J23">
        <v>0</v>
      </c>
    </row>
    <row r="24" spans="1:10" x14ac:dyDescent="0.3">
      <c r="A24">
        <v>94015</v>
      </c>
      <c r="B24">
        <v>9.4</v>
      </c>
      <c r="C24">
        <v>-22.2</v>
      </c>
      <c r="D24">
        <v>-27.8</v>
      </c>
      <c r="E24">
        <v>0</v>
      </c>
      <c r="H24">
        <f t="shared" si="0"/>
        <v>0</v>
      </c>
      <c r="J24">
        <v>0</v>
      </c>
    </row>
    <row r="25" spans="1:10" x14ac:dyDescent="0.3">
      <c r="A25">
        <v>94016</v>
      </c>
      <c r="B25">
        <v>4.3</v>
      </c>
      <c r="C25">
        <v>-8.3000000000000007</v>
      </c>
      <c r="D25">
        <v>-22.8</v>
      </c>
      <c r="E25">
        <v>1.3</v>
      </c>
      <c r="H25">
        <f t="shared" si="0"/>
        <v>2.6</v>
      </c>
      <c r="J25">
        <v>1.3</v>
      </c>
    </row>
    <row r="26" spans="1:10" x14ac:dyDescent="0.3">
      <c r="A26">
        <v>94017</v>
      </c>
      <c r="B26">
        <v>7.6</v>
      </c>
      <c r="C26">
        <v>-18.3</v>
      </c>
      <c r="D26">
        <v>-25</v>
      </c>
      <c r="E26">
        <v>0</v>
      </c>
      <c r="H26">
        <f t="shared" si="0"/>
        <v>0</v>
      </c>
      <c r="J26">
        <v>0</v>
      </c>
    </row>
    <row r="27" spans="1:10" x14ac:dyDescent="0.3">
      <c r="A27">
        <v>94018</v>
      </c>
      <c r="B27">
        <v>10.3</v>
      </c>
      <c r="C27">
        <v>-22.8</v>
      </c>
      <c r="D27">
        <v>-26.7</v>
      </c>
      <c r="E27">
        <v>0</v>
      </c>
      <c r="H27">
        <f t="shared" si="0"/>
        <v>0</v>
      </c>
      <c r="J27">
        <v>0</v>
      </c>
    </row>
    <row r="28" spans="1:10" x14ac:dyDescent="0.3">
      <c r="A28">
        <v>94019</v>
      </c>
      <c r="B28">
        <v>5</v>
      </c>
      <c r="C28">
        <v>-8.9</v>
      </c>
      <c r="D28">
        <v>-24.4</v>
      </c>
      <c r="E28">
        <v>0.8</v>
      </c>
      <c r="H28">
        <f t="shared" si="0"/>
        <v>1.6</v>
      </c>
      <c r="J28">
        <v>0.8</v>
      </c>
    </row>
    <row r="29" spans="1:10" x14ac:dyDescent="0.3">
      <c r="A29">
        <v>94020</v>
      </c>
      <c r="B29">
        <v>10.7</v>
      </c>
      <c r="C29">
        <v>-13.3</v>
      </c>
      <c r="D29">
        <v>-24.4</v>
      </c>
      <c r="E29">
        <v>0</v>
      </c>
      <c r="H29">
        <f t="shared" si="0"/>
        <v>0</v>
      </c>
      <c r="J29">
        <v>0</v>
      </c>
    </row>
    <row r="30" spans="1:10" x14ac:dyDescent="0.3">
      <c r="A30">
        <v>94021</v>
      </c>
      <c r="B30">
        <v>9.6999999999999993</v>
      </c>
      <c r="C30">
        <v>2.8</v>
      </c>
      <c r="D30">
        <v>-18.899999999999999</v>
      </c>
      <c r="E30">
        <v>0</v>
      </c>
      <c r="H30">
        <f t="shared" si="0"/>
        <v>0</v>
      </c>
      <c r="J30">
        <v>0</v>
      </c>
    </row>
    <row r="31" spans="1:10" x14ac:dyDescent="0.3">
      <c r="A31">
        <v>94022</v>
      </c>
      <c r="B31">
        <v>9.4</v>
      </c>
      <c r="C31">
        <v>5.6</v>
      </c>
      <c r="D31">
        <v>-8.3000000000000007</v>
      </c>
      <c r="E31">
        <v>0</v>
      </c>
      <c r="H31">
        <f t="shared" si="0"/>
        <v>0</v>
      </c>
      <c r="J31">
        <v>0</v>
      </c>
    </row>
    <row r="32" spans="1:10" x14ac:dyDescent="0.3">
      <c r="A32">
        <v>94023</v>
      </c>
      <c r="B32">
        <v>9.8000000000000007</v>
      </c>
      <c r="C32">
        <v>8.9</v>
      </c>
      <c r="D32">
        <v>-2.8</v>
      </c>
      <c r="E32">
        <v>0</v>
      </c>
      <c r="H32">
        <f t="shared" si="0"/>
        <v>0</v>
      </c>
      <c r="J32">
        <v>0</v>
      </c>
    </row>
    <row r="33" spans="1:10" x14ac:dyDescent="0.3">
      <c r="A33">
        <v>94024</v>
      </c>
      <c r="B33">
        <v>4.5999999999999996</v>
      </c>
      <c r="C33">
        <v>2.8</v>
      </c>
      <c r="D33">
        <v>-2.2000000000000002</v>
      </c>
      <c r="E33">
        <v>0</v>
      </c>
      <c r="H33">
        <f t="shared" si="0"/>
        <v>0</v>
      </c>
      <c r="J33">
        <v>0</v>
      </c>
    </row>
    <row r="34" spans="1:10" x14ac:dyDescent="0.3">
      <c r="A34">
        <v>94025</v>
      </c>
      <c r="B34">
        <v>4.5999999999999996</v>
      </c>
      <c r="C34">
        <v>1.7</v>
      </c>
      <c r="D34">
        <v>-3.3</v>
      </c>
      <c r="E34">
        <v>1.5</v>
      </c>
      <c r="H34">
        <f t="shared" si="0"/>
        <v>3</v>
      </c>
      <c r="J34">
        <v>1.5</v>
      </c>
    </row>
    <row r="35" spans="1:10" x14ac:dyDescent="0.3">
      <c r="A35">
        <v>94026</v>
      </c>
      <c r="B35">
        <v>3.5</v>
      </c>
      <c r="C35">
        <v>-2.8</v>
      </c>
      <c r="D35">
        <v>-5</v>
      </c>
      <c r="E35">
        <v>9.1</v>
      </c>
      <c r="H35">
        <f t="shared" si="0"/>
        <v>18.2</v>
      </c>
      <c r="J35">
        <v>9.1</v>
      </c>
    </row>
    <row r="36" spans="1:10" x14ac:dyDescent="0.3">
      <c r="A36">
        <v>94027</v>
      </c>
      <c r="B36">
        <v>5.0999999999999996</v>
      </c>
      <c r="C36">
        <v>-1.1000000000000001</v>
      </c>
      <c r="D36">
        <v>-7.8</v>
      </c>
      <c r="E36">
        <v>2</v>
      </c>
      <c r="H36">
        <f t="shared" si="0"/>
        <v>4</v>
      </c>
      <c r="J36">
        <v>2</v>
      </c>
    </row>
    <row r="37" spans="1:10" x14ac:dyDescent="0.3">
      <c r="A37">
        <v>94028</v>
      </c>
      <c r="B37">
        <v>5.5</v>
      </c>
      <c r="C37">
        <v>-3.9</v>
      </c>
      <c r="D37">
        <v>-8.9</v>
      </c>
      <c r="E37">
        <v>0</v>
      </c>
      <c r="H37">
        <f t="shared" si="0"/>
        <v>0</v>
      </c>
      <c r="J37">
        <v>0</v>
      </c>
    </row>
    <row r="38" spans="1:10" x14ac:dyDescent="0.3">
      <c r="A38">
        <v>94029</v>
      </c>
      <c r="B38">
        <v>10.9</v>
      </c>
      <c r="C38">
        <v>-4.4000000000000004</v>
      </c>
      <c r="D38">
        <v>-12.8</v>
      </c>
      <c r="E38">
        <v>1</v>
      </c>
      <c r="H38">
        <f t="shared" si="0"/>
        <v>2</v>
      </c>
      <c r="J38">
        <v>1</v>
      </c>
    </row>
    <row r="39" spans="1:10" x14ac:dyDescent="0.3">
      <c r="A39">
        <v>94030</v>
      </c>
      <c r="B39">
        <v>10.9</v>
      </c>
      <c r="C39">
        <v>-10</v>
      </c>
      <c r="D39">
        <v>-20.6</v>
      </c>
      <c r="E39">
        <v>0.3</v>
      </c>
      <c r="H39">
        <f t="shared" si="0"/>
        <v>0.6</v>
      </c>
      <c r="J39">
        <v>0.3</v>
      </c>
    </row>
    <row r="40" spans="1:10" x14ac:dyDescent="0.3">
      <c r="A40">
        <v>94031</v>
      </c>
      <c r="B40">
        <v>11.9</v>
      </c>
      <c r="C40">
        <v>-12.2</v>
      </c>
      <c r="D40">
        <v>-23.9</v>
      </c>
      <c r="E40">
        <v>0</v>
      </c>
      <c r="H40">
        <f t="shared" si="0"/>
        <v>0</v>
      </c>
      <c r="J40">
        <v>0</v>
      </c>
    </row>
    <row r="41" spans="1:10" x14ac:dyDescent="0.3">
      <c r="A41">
        <v>94032</v>
      </c>
      <c r="B41">
        <v>12.5</v>
      </c>
      <c r="C41">
        <v>-6.1</v>
      </c>
      <c r="D41">
        <v>-19.399999999999999</v>
      </c>
      <c r="E41">
        <v>0</v>
      </c>
      <c r="H41">
        <f t="shared" si="0"/>
        <v>0</v>
      </c>
      <c r="J41">
        <v>0</v>
      </c>
    </row>
    <row r="42" spans="1:10" x14ac:dyDescent="0.3">
      <c r="A42">
        <v>94033</v>
      </c>
      <c r="B42">
        <v>11.1</v>
      </c>
      <c r="C42">
        <v>-3.3</v>
      </c>
      <c r="D42">
        <v>-16.7</v>
      </c>
      <c r="E42">
        <v>0</v>
      </c>
      <c r="H42">
        <f t="shared" si="0"/>
        <v>0</v>
      </c>
      <c r="J42">
        <v>0</v>
      </c>
    </row>
    <row r="43" spans="1:10" x14ac:dyDescent="0.3">
      <c r="A43">
        <v>94034</v>
      </c>
      <c r="B43">
        <v>11.4</v>
      </c>
      <c r="C43">
        <v>-3.3</v>
      </c>
      <c r="D43">
        <v>-13.3</v>
      </c>
      <c r="E43">
        <v>0</v>
      </c>
      <c r="H43">
        <f t="shared" si="0"/>
        <v>0</v>
      </c>
      <c r="J43">
        <v>0</v>
      </c>
    </row>
    <row r="44" spans="1:10" x14ac:dyDescent="0.3">
      <c r="A44">
        <v>94035</v>
      </c>
      <c r="B44">
        <v>11.9</v>
      </c>
      <c r="C44">
        <v>-3.9</v>
      </c>
      <c r="D44">
        <v>-13.9</v>
      </c>
      <c r="E44">
        <v>0</v>
      </c>
      <c r="H44">
        <f t="shared" si="0"/>
        <v>0</v>
      </c>
      <c r="J44">
        <v>0</v>
      </c>
    </row>
    <row r="45" spans="1:10" x14ac:dyDescent="0.3">
      <c r="A45">
        <v>94036</v>
      </c>
      <c r="B45">
        <v>12</v>
      </c>
      <c r="C45">
        <v>0.6</v>
      </c>
      <c r="D45">
        <v>-9.4</v>
      </c>
      <c r="E45">
        <v>0</v>
      </c>
      <c r="H45">
        <f t="shared" si="0"/>
        <v>0</v>
      </c>
      <c r="J45">
        <v>0</v>
      </c>
    </row>
    <row r="46" spans="1:10" x14ac:dyDescent="0.3">
      <c r="A46">
        <v>94037</v>
      </c>
      <c r="B46">
        <v>12.1</v>
      </c>
      <c r="C46">
        <v>0.6</v>
      </c>
      <c r="D46">
        <v>-15.6</v>
      </c>
      <c r="E46">
        <v>0</v>
      </c>
      <c r="H46">
        <f t="shared" si="0"/>
        <v>0</v>
      </c>
      <c r="J46">
        <v>0</v>
      </c>
    </row>
    <row r="47" spans="1:10" x14ac:dyDescent="0.3">
      <c r="A47">
        <v>94038</v>
      </c>
      <c r="B47">
        <v>5.9</v>
      </c>
      <c r="C47">
        <v>-15</v>
      </c>
      <c r="D47">
        <v>-21.7</v>
      </c>
      <c r="E47">
        <v>0</v>
      </c>
      <c r="H47">
        <f t="shared" si="0"/>
        <v>0</v>
      </c>
      <c r="J47">
        <v>0</v>
      </c>
    </row>
    <row r="48" spans="1:10" x14ac:dyDescent="0.3">
      <c r="A48">
        <v>94039</v>
      </c>
      <c r="B48">
        <v>4.0999999999999996</v>
      </c>
      <c r="C48">
        <v>-12.8</v>
      </c>
      <c r="D48">
        <v>-17.2</v>
      </c>
      <c r="E48">
        <v>2.2999999999999998</v>
      </c>
      <c r="H48">
        <f t="shared" si="0"/>
        <v>4.5999999999999996</v>
      </c>
      <c r="J48">
        <v>2.2999999999999998</v>
      </c>
    </row>
    <row r="49" spans="1:10" x14ac:dyDescent="0.3">
      <c r="A49">
        <v>94040</v>
      </c>
      <c r="B49">
        <v>12.9</v>
      </c>
      <c r="C49">
        <v>-15</v>
      </c>
      <c r="D49">
        <v>-22.2</v>
      </c>
      <c r="E49">
        <v>0.5</v>
      </c>
      <c r="H49">
        <f t="shared" si="0"/>
        <v>1</v>
      </c>
      <c r="J49">
        <v>0.5</v>
      </c>
    </row>
    <row r="50" spans="1:10" x14ac:dyDescent="0.3">
      <c r="A50">
        <v>94041</v>
      </c>
      <c r="B50">
        <v>12.6</v>
      </c>
      <c r="C50">
        <v>-3.9</v>
      </c>
      <c r="D50">
        <v>-21.7</v>
      </c>
      <c r="E50">
        <v>0</v>
      </c>
      <c r="H50">
        <f t="shared" si="0"/>
        <v>0</v>
      </c>
      <c r="J50">
        <v>0</v>
      </c>
    </row>
    <row r="51" spans="1:10" x14ac:dyDescent="0.3">
      <c r="A51">
        <v>94042</v>
      </c>
      <c r="B51">
        <v>13.3</v>
      </c>
      <c r="C51">
        <v>-2.2000000000000002</v>
      </c>
      <c r="D51">
        <v>-16.100000000000001</v>
      </c>
      <c r="E51">
        <v>0</v>
      </c>
      <c r="H51">
        <f t="shared" si="0"/>
        <v>0</v>
      </c>
      <c r="J51">
        <v>0</v>
      </c>
    </row>
    <row r="52" spans="1:10" x14ac:dyDescent="0.3">
      <c r="A52">
        <v>94043</v>
      </c>
      <c r="B52">
        <v>12.3</v>
      </c>
      <c r="C52">
        <v>-3.3</v>
      </c>
      <c r="D52">
        <v>-8.3000000000000007</v>
      </c>
      <c r="E52">
        <v>3.3</v>
      </c>
      <c r="H52">
        <f t="shared" si="0"/>
        <v>6.6</v>
      </c>
      <c r="J52">
        <v>3.3</v>
      </c>
    </row>
    <row r="53" spans="1:10" x14ac:dyDescent="0.3">
      <c r="A53">
        <v>94044</v>
      </c>
      <c r="B53">
        <v>13.2</v>
      </c>
      <c r="C53">
        <v>5</v>
      </c>
      <c r="D53">
        <v>-13.3</v>
      </c>
      <c r="E53">
        <v>0</v>
      </c>
      <c r="H53">
        <f t="shared" si="0"/>
        <v>0</v>
      </c>
      <c r="J53">
        <v>0</v>
      </c>
    </row>
    <row r="54" spans="1:10" x14ac:dyDescent="0.3">
      <c r="A54">
        <v>94045</v>
      </c>
      <c r="B54">
        <v>11.5</v>
      </c>
      <c r="C54">
        <v>8.9</v>
      </c>
      <c r="D54">
        <v>-1.1000000000000001</v>
      </c>
      <c r="E54">
        <v>0</v>
      </c>
      <c r="H54">
        <f t="shared" si="0"/>
        <v>0</v>
      </c>
      <c r="J54">
        <v>0</v>
      </c>
    </row>
    <row r="55" spans="1:10" x14ac:dyDescent="0.3">
      <c r="A55">
        <v>94046</v>
      </c>
      <c r="B55">
        <v>13.3</v>
      </c>
      <c r="C55">
        <v>2.8</v>
      </c>
      <c r="D55">
        <v>-2.8</v>
      </c>
      <c r="E55">
        <v>0</v>
      </c>
      <c r="H55">
        <f t="shared" si="0"/>
        <v>0</v>
      </c>
      <c r="J55">
        <v>0</v>
      </c>
    </row>
    <row r="56" spans="1:10" x14ac:dyDescent="0.3">
      <c r="A56">
        <v>94047</v>
      </c>
      <c r="B56">
        <v>12</v>
      </c>
      <c r="C56">
        <v>12.8</v>
      </c>
      <c r="D56">
        <v>-3.9</v>
      </c>
      <c r="E56">
        <v>0</v>
      </c>
      <c r="H56">
        <f t="shared" si="0"/>
        <v>0</v>
      </c>
      <c r="J56">
        <v>0</v>
      </c>
    </row>
    <row r="57" spans="1:10" x14ac:dyDescent="0.3">
      <c r="A57">
        <v>94048</v>
      </c>
      <c r="B57">
        <v>13.3</v>
      </c>
      <c r="C57">
        <v>11.7</v>
      </c>
      <c r="D57">
        <v>-0.6</v>
      </c>
      <c r="E57">
        <v>0</v>
      </c>
      <c r="H57">
        <f t="shared" si="0"/>
        <v>0</v>
      </c>
      <c r="J57">
        <v>0</v>
      </c>
    </row>
    <row r="58" spans="1:10" x14ac:dyDescent="0.3">
      <c r="A58">
        <v>94049</v>
      </c>
      <c r="B58">
        <v>9.6999999999999993</v>
      </c>
      <c r="C58">
        <v>16.100000000000001</v>
      </c>
      <c r="D58">
        <v>5</v>
      </c>
      <c r="E58">
        <v>0</v>
      </c>
      <c r="H58">
        <f t="shared" si="0"/>
        <v>0</v>
      </c>
      <c r="J58">
        <v>0</v>
      </c>
    </row>
    <row r="59" spans="1:10" x14ac:dyDescent="0.3">
      <c r="A59">
        <v>94050</v>
      </c>
      <c r="B59">
        <v>5.7</v>
      </c>
      <c r="C59">
        <v>16.100000000000001</v>
      </c>
      <c r="D59">
        <v>0</v>
      </c>
      <c r="E59">
        <v>4.8</v>
      </c>
      <c r="H59">
        <f t="shared" si="0"/>
        <v>9.6</v>
      </c>
      <c r="J59">
        <v>4.8</v>
      </c>
    </row>
    <row r="60" spans="1:10" x14ac:dyDescent="0.3">
      <c r="A60">
        <v>94051</v>
      </c>
      <c r="B60">
        <v>13.6</v>
      </c>
      <c r="C60">
        <v>1.1000000000000001</v>
      </c>
      <c r="D60">
        <v>-5</v>
      </c>
      <c r="E60">
        <v>0</v>
      </c>
      <c r="H60">
        <f t="shared" si="0"/>
        <v>0</v>
      </c>
      <c r="J60">
        <v>0</v>
      </c>
    </row>
    <row r="61" spans="1:10" x14ac:dyDescent="0.3">
      <c r="A61">
        <v>94052</v>
      </c>
      <c r="B61">
        <v>12.9</v>
      </c>
      <c r="C61">
        <v>2.2000000000000002</v>
      </c>
      <c r="D61">
        <v>-4.4000000000000004</v>
      </c>
      <c r="E61">
        <v>0</v>
      </c>
      <c r="H61">
        <f t="shared" si="0"/>
        <v>0</v>
      </c>
      <c r="J61">
        <v>0</v>
      </c>
    </row>
    <row r="62" spans="1:10" x14ac:dyDescent="0.3">
      <c r="A62">
        <v>94053</v>
      </c>
      <c r="B62">
        <v>4.5999999999999996</v>
      </c>
      <c r="C62">
        <v>-1.1000000000000001</v>
      </c>
      <c r="D62">
        <v>-7.8</v>
      </c>
      <c r="E62">
        <v>23.9</v>
      </c>
      <c r="H62">
        <f t="shared" si="0"/>
        <v>47.8</v>
      </c>
      <c r="J62">
        <v>23.9</v>
      </c>
    </row>
    <row r="63" spans="1:10" x14ac:dyDescent="0.3">
      <c r="A63">
        <v>94054</v>
      </c>
      <c r="B63">
        <v>7.4</v>
      </c>
      <c r="C63">
        <v>-7.2</v>
      </c>
      <c r="D63">
        <v>-14.4</v>
      </c>
      <c r="E63">
        <v>2.2999999999999998</v>
      </c>
      <c r="H63">
        <f t="shared" si="0"/>
        <v>4.5999999999999996</v>
      </c>
      <c r="J63">
        <v>2.2999999999999998</v>
      </c>
    </row>
    <row r="64" spans="1:10" x14ac:dyDescent="0.3">
      <c r="A64">
        <v>94055</v>
      </c>
      <c r="B64">
        <v>11.3</v>
      </c>
      <c r="C64">
        <v>-6.7</v>
      </c>
      <c r="D64">
        <v>-17.2</v>
      </c>
      <c r="E64">
        <v>0</v>
      </c>
      <c r="H64">
        <f t="shared" si="0"/>
        <v>0</v>
      </c>
      <c r="J64">
        <v>0</v>
      </c>
    </row>
    <row r="65" spans="1:10" x14ac:dyDescent="0.3">
      <c r="A65">
        <v>94056</v>
      </c>
      <c r="B65">
        <v>16.8</v>
      </c>
      <c r="C65">
        <v>-7.2</v>
      </c>
      <c r="D65">
        <v>-16.100000000000001</v>
      </c>
      <c r="E65">
        <v>6.1</v>
      </c>
      <c r="H65">
        <f t="shared" si="0"/>
        <v>12.2</v>
      </c>
      <c r="J65">
        <v>6.1</v>
      </c>
    </row>
    <row r="66" spans="1:10" x14ac:dyDescent="0.3">
      <c r="A66">
        <v>94057</v>
      </c>
      <c r="B66">
        <v>15.9</v>
      </c>
      <c r="C66">
        <v>-4.4000000000000004</v>
      </c>
      <c r="D66">
        <v>-17.2</v>
      </c>
      <c r="E66">
        <v>0</v>
      </c>
      <c r="H66">
        <f t="shared" si="0"/>
        <v>0</v>
      </c>
      <c r="J66">
        <v>0</v>
      </c>
    </row>
    <row r="67" spans="1:10" x14ac:dyDescent="0.3">
      <c r="A67">
        <v>94058</v>
      </c>
      <c r="B67">
        <v>11.3</v>
      </c>
      <c r="C67">
        <v>-3.3</v>
      </c>
      <c r="D67">
        <v>-13.9</v>
      </c>
      <c r="E67">
        <v>0.3</v>
      </c>
      <c r="H67">
        <f t="shared" si="0"/>
        <v>0.6</v>
      </c>
      <c r="J67">
        <v>0.3</v>
      </c>
    </row>
    <row r="68" spans="1:10" x14ac:dyDescent="0.3">
      <c r="A68">
        <v>94059</v>
      </c>
      <c r="B68">
        <v>10.3</v>
      </c>
      <c r="C68">
        <v>0.6</v>
      </c>
      <c r="D68">
        <v>-6.7</v>
      </c>
      <c r="E68">
        <v>0</v>
      </c>
      <c r="H68">
        <f t="shared" si="0"/>
        <v>0</v>
      </c>
      <c r="J68">
        <v>0</v>
      </c>
    </row>
    <row r="69" spans="1:10" x14ac:dyDescent="0.3">
      <c r="A69">
        <v>94060</v>
      </c>
      <c r="B69">
        <v>16.399999999999999</v>
      </c>
      <c r="C69">
        <v>2.8</v>
      </c>
      <c r="D69">
        <v>-6.7</v>
      </c>
      <c r="E69">
        <v>0</v>
      </c>
      <c r="H69">
        <f t="shared" si="0"/>
        <v>0</v>
      </c>
      <c r="J69">
        <v>0</v>
      </c>
    </row>
    <row r="70" spans="1:10" x14ac:dyDescent="0.3">
      <c r="A70">
        <v>94061</v>
      </c>
      <c r="B70">
        <v>16.100000000000001</v>
      </c>
      <c r="C70">
        <v>4.4000000000000004</v>
      </c>
      <c r="D70">
        <v>-7.8</v>
      </c>
      <c r="E70">
        <v>0</v>
      </c>
      <c r="H70">
        <f t="shared" si="0"/>
        <v>0</v>
      </c>
      <c r="J70">
        <v>0</v>
      </c>
    </row>
    <row r="71" spans="1:10" x14ac:dyDescent="0.3">
      <c r="A71">
        <v>94062</v>
      </c>
      <c r="B71">
        <v>16</v>
      </c>
      <c r="C71">
        <v>15.6</v>
      </c>
      <c r="D71">
        <v>-1.7</v>
      </c>
      <c r="E71">
        <v>0</v>
      </c>
      <c r="H71">
        <f t="shared" si="0"/>
        <v>0</v>
      </c>
      <c r="J71">
        <v>0</v>
      </c>
    </row>
    <row r="72" spans="1:10" x14ac:dyDescent="0.3">
      <c r="A72">
        <v>94063</v>
      </c>
      <c r="B72">
        <v>16.5</v>
      </c>
      <c r="C72">
        <v>13.3</v>
      </c>
      <c r="D72">
        <v>2.2000000000000002</v>
      </c>
      <c r="E72">
        <v>0</v>
      </c>
      <c r="H72">
        <f t="shared" si="0"/>
        <v>0</v>
      </c>
      <c r="J72">
        <v>0</v>
      </c>
    </row>
    <row r="73" spans="1:10" x14ac:dyDescent="0.3">
      <c r="A73">
        <v>94064</v>
      </c>
      <c r="B73">
        <v>16.399999999999999</v>
      </c>
      <c r="C73">
        <v>18.899999999999999</v>
      </c>
      <c r="D73">
        <v>0</v>
      </c>
      <c r="E73">
        <v>0</v>
      </c>
      <c r="H73">
        <f t="shared" si="0"/>
        <v>0</v>
      </c>
      <c r="J73">
        <v>0</v>
      </c>
    </row>
    <row r="74" spans="1:10" x14ac:dyDescent="0.3">
      <c r="A74">
        <v>94065</v>
      </c>
      <c r="B74">
        <v>9.6999999999999993</v>
      </c>
      <c r="C74">
        <v>8.9</v>
      </c>
      <c r="D74">
        <v>0</v>
      </c>
      <c r="E74">
        <v>0</v>
      </c>
      <c r="H74">
        <f t="shared" si="0"/>
        <v>0</v>
      </c>
      <c r="J74">
        <v>0</v>
      </c>
    </row>
    <row r="75" spans="1:10" x14ac:dyDescent="0.3">
      <c r="A75">
        <v>94066</v>
      </c>
      <c r="B75">
        <v>16.600000000000001</v>
      </c>
      <c r="C75">
        <v>7.2</v>
      </c>
      <c r="D75">
        <v>-3.3</v>
      </c>
      <c r="E75">
        <v>0</v>
      </c>
      <c r="H75">
        <f t="shared" ref="H75:H138" si="1">E75*2</f>
        <v>0</v>
      </c>
      <c r="J75">
        <v>0</v>
      </c>
    </row>
    <row r="76" spans="1:10" x14ac:dyDescent="0.3">
      <c r="A76">
        <v>94067</v>
      </c>
      <c r="B76">
        <v>16.399999999999999</v>
      </c>
      <c r="C76">
        <v>1.7</v>
      </c>
      <c r="D76">
        <v>-4.4000000000000004</v>
      </c>
      <c r="E76">
        <v>0</v>
      </c>
      <c r="H76">
        <f t="shared" si="1"/>
        <v>0</v>
      </c>
      <c r="J76">
        <v>0</v>
      </c>
    </row>
    <row r="77" spans="1:10" x14ac:dyDescent="0.3">
      <c r="A77">
        <v>94068</v>
      </c>
      <c r="B77">
        <v>14.8</v>
      </c>
      <c r="C77">
        <v>3.3</v>
      </c>
      <c r="D77">
        <v>-7.2</v>
      </c>
      <c r="E77">
        <v>0</v>
      </c>
      <c r="H77">
        <f t="shared" si="1"/>
        <v>0</v>
      </c>
      <c r="J77">
        <v>0</v>
      </c>
    </row>
    <row r="78" spans="1:10" x14ac:dyDescent="0.3">
      <c r="A78">
        <v>94069</v>
      </c>
      <c r="B78">
        <v>14.5</v>
      </c>
      <c r="C78">
        <v>3.9</v>
      </c>
      <c r="D78">
        <v>-5.6</v>
      </c>
      <c r="E78">
        <v>0</v>
      </c>
      <c r="H78">
        <f t="shared" si="1"/>
        <v>0</v>
      </c>
      <c r="J78">
        <v>0</v>
      </c>
    </row>
    <row r="79" spans="1:10" x14ac:dyDescent="0.3">
      <c r="A79">
        <v>94070</v>
      </c>
      <c r="B79">
        <v>17.2</v>
      </c>
      <c r="C79">
        <v>9.4</v>
      </c>
      <c r="D79">
        <v>-7.2</v>
      </c>
      <c r="E79">
        <v>0</v>
      </c>
      <c r="H79">
        <f t="shared" si="1"/>
        <v>0</v>
      </c>
      <c r="J79">
        <v>0</v>
      </c>
    </row>
    <row r="80" spans="1:10" x14ac:dyDescent="0.3">
      <c r="A80">
        <v>94071</v>
      </c>
      <c r="B80">
        <v>13.1</v>
      </c>
      <c r="C80">
        <v>10.6</v>
      </c>
      <c r="D80">
        <v>-0.6</v>
      </c>
      <c r="E80">
        <v>0</v>
      </c>
      <c r="H80">
        <f t="shared" si="1"/>
        <v>0</v>
      </c>
      <c r="J80">
        <v>0</v>
      </c>
    </row>
    <row r="81" spans="1:10" x14ac:dyDescent="0.3">
      <c r="A81">
        <v>94072</v>
      </c>
      <c r="B81">
        <v>18</v>
      </c>
      <c r="C81">
        <v>11.7</v>
      </c>
      <c r="D81">
        <v>-3.9</v>
      </c>
      <c r="E81">
        <v>0</v>
      </c>
      <c r="H81">
        <f t="shared" si="1"/>
        <v>0</v>
      </c>
      <c r="J81">
        <v>0</v>
      </c>
    </row>
    <row r="82" spans="1:10" x14ac:dyDescent="0.3">
      <c r="A82">
        <v>94073</v>
      </c>
      <c r="B82">
        <v>11.5</v>
      </c>
      <c r="C82">
        <v>19.399999999999999</v>
      </c>
      <c r="D82">
        <v>-0.6</v>
      </c>
      <c r="E82">
        <v>0</v>
      </c>
      <c r="H82">
        <f t="shared" si="1"/>
        <v>0</v>
      </c>
      <c r="J82">
        <v>0</v>
      </c>
    </row>
    <row r="83" spans="1:10" x14ac:dyDescent="0.3">
      <c r="A83">
        <v>94074</v>
      </c>
      <c r="B83">
        <v>17.600000000000001</v>
      </c>
      <c r="C83">
        <v>8.9</v>
      </c>
      <c r="D83">
        <v>0</v>
      </c>
      <c r="E83">
        <v>0</v>
      </c>
      <c r="H83">
        <f t="shared" si="1"/>
        <v>0</v>
      </c>
      <c r="J83">
        <v>0</v>
      </c>
    </row>
    <row r="84" spans="1:10" x14ac:dyDescent="0.3">
      <c r="A84">
        <v>94075</v>
      </c>
      <c r="B84">
        <v>18.2</v>
      </c>
      <c r="C84">
        <v>8.3000000000000007</v>
      </c>
      <c r="D84">
        <v>-5</v>
      </c>
      <c r="E84">
        <v>0</v>
      </c>
      <c r="H84">
        <f t="shared" si="1"/>
        <v>0</v>
      </c>
      <c r="J84">
        <v>0</v>
      </c>
    </row>
    <row r="85" spans="1:10" x14ac:dyDescent="0.3">
      <c r="A85">
        <v>94076</v>
      </c>
      <c r="B85">
        <v>11.4</v>
      </c>
      <c r="C85">
        <v>17.2</v>
      </c>
      <c r="D85">
        <v>1.1000000000000001</v>
      </c>
      <c r="E85">
        <v>0</v>
      </c>
      <c r="H85">
        <f t="shared" si="1"/>
        <v>0</v>
      </c>
      <c r="J85">
        <v>0</v>
      </c>
    </row>
    <row r="86" spans="1:10" x14ac:dyDescent="0.3">
      <c r="A86">
        <v>94077</v>
      </c>
      <c r="B86">
        <v>19.7</v>
      </c>
      <c r="C86">
        <v>15</v>
      </c>
      <c r="D86">
        <v>1.7</v>
      </c>
      <c r="E86">
        <v>0</v>
      </c>
      <c r="H86">
        <f t="shared" si="1"/>
        <v>0</v>
      </c>
      <c r="J86">
        <v>0</v>
      </c>
    </row>
    <row r="87" spans="1:10" x14ac:dyDescent="0.3">
      <c r="A87">
        <v>94078</v>
      </c>
      <c r="B87">
        <v>13.7</v>
      </c>
      <c r="C87">
        <v>18.3</v>
      </c>
      <c r="D87">
        <v>2.2000000000000002</v>
      </c>
      <c r="E87">
        <v>0</v>
      </c>
      <c r="H87">
        <f t="shared" si="1"/>
        <v>0</v>
      </c>
      <c r="J87">
        <v>0</v>
      </c>
    </row>
    <row r="88" spans="1:10" x14ac:dyDescent="0.3">
      <c r="A88">
        <v>94079</v>
      </c>
      <c r="B88">
        <v>15.1</v>
      </c>
      <c r="C88">
        <v>20</v>
      </c>
      <c r="D88">
        <v>4.4000000000000004</v>
      </c>
      <c r="E88">
        <v>1.5</v>
      </c>
      <c r="H88">
        <f t="shared" si="1"/>
        <v>3</v>
      </c>
      <c r="J88">
        <v>1.5</v>
      </c>
    </row>
    <row r="89" spans="1:10" x14ac:dyDescent="0.3">
      <c r="A89">
        <v>94080</v>
      </c>
      <c r="B89">
        <v>20.5</v>
      </c>
      <c r="C89">
        <v>15.6</v>
      </c>
      <c r="D89">
        <v>-0.6</v>
      </c>
      <c r="E89">
        <v>0</v>
      </c>
      <c r="H89">
        <f t="shared" si="1"/>
        <v>0</v>
      </c>
      <c r="J89">
        <v>0</v>
      </c>
    </row>
    <row r="90" spans="1:10" x14ac:dyDescent="0.3">
      <c r="A90">
        <v>94081</v>
      </c>
      <c r="B90">
        <v>20.5</v>
      </c>
      <c r="C90">
        <v>25</v>
      </c>
      <c r="D90">
        <v>5.6</v>
      </c>
      <c r="E90">
        <v>0</v>
      </c>
      <c r="H90">
        <f t="shared" si="1"/>
        <v>0</v>
      </c>
      <c r="J90">
        <v>0</v>
      </c>
    </row>
    <row r="91" spans="1:10" x14ac:dyDescent="0.3">
      <c r="A91">
        <v>94082</v>
      </c>
      <c r="B91">
        <v>19.7</v>
      </c>
      <c r="C91">
        <v>27.8</v>
      </c>
      <c r="D91">
        <v>1.1000000000000001</v>
      </c>
      <c r="E91">
        <v>1.5</v>
      </c>
      <c r="H91">
        <f t="shared" si="1"/>
        <v>3</v>
      </c>
      <c r="J91">
        <v>1.5</v>
      </c>
    </row>
    <row r="92" spans="1:10" x14ac:dyDescent="0.3">
      <c r="A92">
        <v>94083</v>
      </c>
      <c r="B92">
        <v>15.1</v>
      </c>
      <c r="C92">
        <v>6.1</v>
      </c>
      <c r="D92">
        <v>-2.8</v>
      </c>
      <c r="E92">
        <v>0</v>
      </c>
      <c r="H92">
        <f t="shared" si="1"/>
        <v>0</v>
      </c>
      <c r="J92">
        <v>0</v>
      </c>
    </row>
    <row r="93" spans="1:10" x14ac:dyDescent="0.3">
      <c r="A93">
        <v>94084</v>
      </c>
      <c r="B93">
        <v>15.6</v>
      </c>
      <c r="C93">
        <v>7.2</v>
      </c>
      <c r="D93">
        <v>-5</v>
      </c>
      <c r="E93">
        <v>0</v>
      </c>
      <c r="H93">
        <f t="shared" si="1"/>
        <v>0</v>
      </c>
      <c r="J93">
        <v>0</v>
      </c>
    </row>
    <row r="94" spans="1:10" x14ac:dyDescent="0.3">
      <c r="A94">
        <v>94085</v>
      </c>
      <c r="B94">
        <v>12.9</v>
      </c>
      <c r="C94">
        <v>12.8</v>
      </c>
      <c r="D94">
        <v>2.2000000000000002</v>
      </c>
      <c r="E94">
        <v>0</v>
      </c>
      <c r="H94">
        <f t="shared" si="1"/>
        <v>0</v>
      </c>
      <c r="J94">
        <v>0</v>
      </c>
    </row>
    <row r="95" spans="1:10" x14ac:dyDescent="0.3">
      <c r="A95">
        <v>94086</v>
      </c>
      <c r="B95">
        <v>15.7</v>
      </c>
      <c r="C95">
        <v>8.9</v>
      </c>
      <c r="D95">
        <v>-2.8</v>
      </c>
      <c r="E95">
        <v>0</v>
      </c>
      <c r="H95">
        <f t="shared" si="1"/>
        <v>0</v>
      </c>
      <c r="J95">
        <v>0</v>
      </c>
    </row>
    <row r="96" spans="1:10" x14ac:dyDescent="0.3">
      <c r="A96">
        <v>94087</v>
      </c>
      <c r="B96">
        <v>8.6</v>
      </c>
      <c r="C96">
        <v>3.3</v>
      </c>
      <c r="D96">
        <v>-3.3</v>
      </c>
      <c r="E96">
        <v>1.3</v>
      </c>
      <c r="H96">
        <f t="shared" si="1"/>
        <v>2.6</v>
      </c>
      <c r="J96">
        <v>1.3</v>
      </c>
    </row>
    <row r="97" spans="1:10" x14ac:dyDescent="0.3">
      <c r="A97">
        <v>94088</v>
      </c>
      <c r="B97">
        <v>12.3</v>
      </c>
      <c r="C97">
        <v>6.1</v>
      </c>
      <c r="D97">
        <v>-5.6</v>
      </c>
      <c r="E97">
        <v>0</v>
      </c>
      <c r="H97">
        <f t="shared" si="1"/>
        <v>0</v>
      </c>
      <c r="J97">
        <v>0</v>
      </c>
    </row>
    <row r="98" spans="1:10" x14ac:dyDescent="0.3">
      <c r="A98">
        <v>94089</v>
      </c>
      <c r="B98">
        <v>19.2</v>
      </c>
      <c r="C98">
        <v>6.7</v>
      </c>
      <c r="D98">
        <v>-6.1</v>
      </c>
      <c r="E98">
        <v>0</v>
      </c>
      <c r="H98">
        <f t="shared" si="1"/>
        <v>0</v>
      </c>
      <c r="J98">
        <v>0</v>
      </c>
    </row>
    <row r="99" spans="1:10" x14ac:dyDescent="0.3">
      <c r="A99">
        <v>94090</v>
      </c>
      <c r="B99">
        <v>22.6</v>
      </c>
      <c r="C99">
        <v>18.899999999999999</v>
      </c>
      <c r="D99">
        <v>-3.9</v>
      </c>
      <c r="E99">
        <v>0</v>
      </c>
      <c r="H99">
        <f t="shared" si="1"/>
        <v>0</v>
      </c>
      <c r="J99">
        <v>0</v>
      </c>
    </row>
    <row r="100" spans="1:10" x14ac:dyDescent="0.3">
      <c r="A100">
        <v>94091</v>
      </c>
      <c r="B100">
        <v>22.6</v>
      </c>
      <c r="C100">
        <v>21.1</v>
      </c>
      <c r="D100">
        <v>0</v>
      </c>
      <c r="E100">
        <v>0</v>
      </c>
      <c r="H100">
        <f t="shared" si="1"/>
        <v>0</v>
      </c>
      <c r="J100">
        <v>0</v>
      </c>
    </row>
    <row r="101" spans="1:10" x14ac:dyDescent="0.3">
      <c r="A101">
        <v>94092</v>
      </c>
      <c r="B101">
        <v>20.399999999999999</v>
      </c>
      <c r="C101">
        <v>10</v>
      </c>
      <c r="D101">
        <v>-1.7</v>
      </c>
      <c r="E101">
        <v>0</v>
      </c>
      <c r="H101">
        <f t="shared" si="1"/>
        <v>0</v>
      </c>
      <c r="J101">
        <v>0</v>
      </c>
    </row>
    <row r="102" spans="1:10" x14ac:dyDescent="0.3">
      <c r="A102">
        <v>94093</v>
      </c>
      <c r="B102">
        <v>23.2</v>
      </c>
      <c r="C102">
        <v>12.8</v>
      </c>
      <c r="D102">
        <v>-5.6</v>
      </c>
      <c r="E102">
        <v>0</v>
      </c>
      <c r="H102">
        <f t="shared" si="1"/>
        <v>0</v>
      </c>
      <c r="J102">
        <v>0</v>
      </c>
    </row>
    <row r="103" spans="1:10" x14ac:dyDescent="0.3">
      <c r="A103">
        <v>94094</v>
      </c>
      <c r="B103">
        <v>14.8</v>
      </c>
      <c r="C103">
        <v>21.1</v>
      </c>
      <c r="D103">
        <v>1.1000000000000001</v>
      </c>
      <c r="E103">
        <v>0</v>
      </c>
      <c r="H103">
        <f t="shared" si="1"/>
        <v>0</v>
      </c>
      <c r="J103">
        <v>0</v>
      </c>
    </row>
    <row r="104" spans="1:10" x14ac:dyDescent="0.3">
      <c r="A104">
        <v>94095</v>
      </c>
      <c r="B104">
        <v>12.5</v>
      </c>
      <c r="C104">
        <v>1.7</v>
      </c>
      <c r="D104">
        <v>-2.8</v>
      </c>
      <c r="E104">
        <v>0</v>
      </c>
      <c r="H104">
        <f t="shared" si="1"/>
        <v>0</v>
      </c>
      <c r="J104">
        <v>0</v>
      </c>
    </row>
    <row r="105" spans="1:10" x14ac:dyDescent="0.3">
      <c r="A105">
        <v>94096</v>
      </c>
      <c r="B105">
        <v>21.5</v>
      </c>
      <c r="C105">
        <v>8.3000000000000007</v>
      </c>
      <c r="D105">
        <v>-3.3</v>
      </c>
      <c r="E105">
        <v>0</v>
      </c>
      <c r="H105">
        <f t="shared" si="1"/>
        <v>0</v>
      </c>
      <c r="J105">
        <v>0</v>
      </c>
    </row>
    <row r="106" spans="1:10" x14ac:dyDescent="0.3">
      <c r="A106">
        <v>94097</v>
      </c>
      <c r="B106">
        <v>19.8</v>
      </c>
      <c r="C106">
        <v>13.3</v>
      </c>
      <c r="D106">
        <v>-3.9</v>
      </c>
      <c r="E106">
        <v>0</v>
      </c>
      <c r="H106">
        <f t="shared" si="1"/>
        <v>0</v>
      </c>
      <c r="J106">
        <v>0</v>
      </c>
    </row>
    <row r="107" spans="1:10" x14ac:dyDescent="0.3">
      <c r="A107">
        <v>94098</v>
      </c>
      <c r="B107">
        <v>21.3</v>
      </c>
      <c r="C107">
        <v>21.7</v>
      </c>
      <c r="D107">
        <v>5.6</v>
      </c>
      <c r="E107">
        <v>0.5</v>
      </c>
      <c r="H107">
        <f t="shared" si="1"/>
        <v>1</v>
      </c>
      <c r="J107">
        <v>0.5</v>
      </c>
    </row>
    <row r="108" spans="1:10" x14ac:dyDescent="0.3">
      <c r="A108">
        <v>94099</v>
      </c>
      <c r="B108">
        <v>14.8</v>
      </c>
      <c r="C108">
        <v>16.100000000000001</v>
      </c>
      <c r="D108">
        <v>4.4000000000000004</v>
      </c>
      <c r="E108">
        <v>0</v>
      </c>
      <c r="H108">
        <f t="shared" si="1"/>
        <v>0</v>
      </c>
      <c r="J108">
        <v>0</v>
      </c>
    </row>
    <row r="109" spans="1:10" x14ac:dyDescent="0.3">
      <c r="A109">
        <v>94100</v>
      </c>
      <c r="B109">
        <v>23.7</v>
      </c>
      <c r="C109">
        <v>16.100000000000001</v>
      </c>
      <c r="D109">
        <v>4.4000000000000004</v>
      </c>
      <c r="E109">
        <v>0</v>
      </c>
      <c r="H109">
        <f t="shared" si="1"/>
        <v>0</v>
      </c>
      <c r="J109">
        <v>0</v>
      </c>
    </row>
    <row r="110" spans="1:10" x14ac:dyDescent="0.3">
      <c r="A110">
        <v>94101</v>
      </c>
      <c r="B110">
        <v>9</v>
      </c>
      <c r="C110">
        <v>10.6</v>
      </c>
      <c r="D110">
        <v>5.6</v>
      </c>
      <c r="E110">
        <v>2.2999999999999998</v>
      </c>
      <c r="H110">
        <f t="shared" si="1"/>
        <v>4.5999999999999996</v>
      </c>
      <c r="J110">
        <v>2.2999999999999998</v>
      </c>
    </row>
    <row r="111" spans="1:10" x14ac:dyDescent="0.3">
      <c r="A111">
        <v>94102</v>
      </c>
      <c r="B111">
        <v>8.3000000000000007</v>
      </c>
      <c r="C111">
        <v>8.3000000000000007</v>
      </c>
      <c r="D111">
        <v>5</v>
      </c>
      <c r="E111">
        <v>15.7</v>
      </c>
      <c r="H111">
        <f t="shared" si="1"/>
        <v>31.4</v>
      </c>
      <c r="J111">
        <v>15.7</v>
      </c>
    </row>
    <row r="112" spans="1:10" x14ac:dyDescent="0.3">
      <c r="A112">
        <v>94103</v>
      </c>
      <c r="B112">
        <v>22.7</v>
      </c>
      <c r="C112">
        <v>18.899999999999999</v>
      </c>
      <c r="D112">
        <v>4.4000000000000004</v>
      </c>
      <c r="E112">
        <v>1</v>
      </c>
      <c r="H112">
        <f t="shared" si="1"/>
        <v>2</v>
      </c>
      <c r="J112">
        <v>1</v>
      </c>
    </row>
    <row r="113" spans="1:10" x14ac:dyDescent="0.3">
      <c r="A113">
        <v>94104</v>
      </c>
      <c r="B113">
        <v>23.5</v>
      </c>
      <c r="C113">
        <v>25</v>
      </c>
      <c r="D113">
        <v>6.1</v>
      </c>
      <c r="E113">
        <v>12.7</v>
      </c>
      <c r="H113">
        <f t="shared" si="1"/>
        <v>25.4</v>
      </c>
      <c r="J113">
        <v>12.7</v>
      </c>
    </row>
    <row r="114" spans="1:10" x14ac:dyDescent="0.3">
      <c r="A114">
        <v>94105</v>
      </c>
      <c r="B114">
        <v>18</v>
      </c>
      <c r="C114">
        <v>14.4</v>
      </c>
      <c r="D114">
        <v>6.1</v>
      </c>
      <c r="E114">
        <v>0</v>
      </c>
      <c r="H114">
        <f t="shared" si="1"/>
        <v>0</v>
      </c>
      <c r="J114">
        <v>0</v>
      </c>
    </row>
    <row r="115" spans="1:10" x14ac:dyDescent="0.3">
      <c r="A115">
        <v>94106</v>
      </c>
      <c r="B115">
        <v>25.3</v>
      </c>
      <c r="C115">
        <v>20.6</v>
      </c>
      <c r="D115">
        <v>2.2000000000000002</v>
      </c>
      <c r="E115">
        <v>0</v>
      </c>
      <c r="H115">
        <f t="shared" si="1"/>
        <v>0</v>
      </c>
      <c r="J115">
        <v>0</v>
      </c>
    </row>
    <row r="116" spans="1:10" x14ac:dyDescent="0.3">
      <c r="A116">
        <v>94107</v>
      </c>
      <c r="B116">
        <v>23.4</v>
      </c>
      <c r="C116">
        <v>25</v>
      </c>
      <c r="D116">
        <v>3.9</v>
      </c>
      <c r="E116">
        <v>0</v>
      </c>
      <c r="H116">
        <f t="shared" si="1"/>
        <v>0</v>
      </c>
      <c r="J116">
        <v>0</v>
      </c>
    </row>
    <row r="117" spans="1:10" x14ac:dyDescent="0.3">
      <c r="A117">
        <v>94108</v>
      </c>
      <c r="B117">
        <v>23.9</v>
      </c>
      <c r="C117">
        <v>31.7</v>
      </c>
      <c r="D117">
        <v>13.9</v>
      </c>
      <c r="E117">
        <v>0.3</v>
      </c>
      <c r="H117">
        <f t="shared" si="1"/>
        <v>0.6</v>
      </c>
      <c r="J117">
        <v>0.3</v>
      </c>
    </row>
    <row r="118" spans="1:10" x14ac:dyDescent="0.3">
      <c r="A118">
        <v>94109</v>
      </c>
      <c r="B118">
        <v>23.5</v>
      </c>
      <c r="C118">
        <v>21.1</v>
      </c>
      <c r="D118">
        <v>7.2</v>
      </c>
      <c r="E118">
        <v>0</v>
      </c>
      <c r="H118">
        <f t="shared" si="1"/>
        <v>0</v>
      </c>
      <c r="J118">
        <v>0</v>
      </c>
    </row>
    <row r="119" spans="1:10" x14ac:dyDescent="0.3">
      <c r="A119">
        <v>94110</v>
      </c>
      <c r="B119">
        <v>13.1</v>
      </c>
      <c r="C119">
        <v>16.7</v>
      </c>
      <c r="D119">
        <v>6.1</v>
      </c>
      <c r="E119">
        <v>3.6</v>
      </c>
      <c r="H119">
        <f t="shared" si="1"/>
        <v>7.2</v>
      </c>
      <c r="J119">
        <v>3.6</v>
      </c>
    </row>
    <row r="120" spans="1:10" x14ac:dyDescent="0.3">
      <c r="A120">
        <v>94111</v>
      </c>
      <c r="B120">
        <v>21.3</v>
      </c>
      <c r="C120">
        <v>16.7</v>
      </c>
      <c r="D120">
        <v>6.7</v>
      </c>
      <c r="E120">
        <v>2.2999999999999998</v>
      </c>
      <c r="H120">
        <f t="shared" si="1"/>
        <v>4.5999999999999996</v>
      </c>
      <c r="J120">
        <v>2.2999999999999998</v>
      </c>
    </row>
    <row r="121" spans="1:10" x14ac:dyDescent="0.3">
      <c r="A121">
        <v>94112</v>
      </c>
      <c r="B121">
        <v>26.2</v>
      </c>
      <c r="C121">
        <v>18.3</v>
      </c>
      <c r="D121">
        <v>4.4000000000000004</v>
      </c>
      <c r="E121">
        <v>0</v>
      </c>
      <c r="H121">
        <f t="shared" si="1"/>
        <v>0</v>
      </c>
      <c r="J121">
        <v>0</v>
      </c>
    </row>
    <row r="122" spans="1:10" x14ac:dyDescent="0.3">
      <c r="A122">
        <v>94113</v>
      </c>
      <c r="B122">
        <v>25.7</v>
      </c>
      <c r="C122">
        <v>24.4</v>
      </c>
      <c r="D122">
        <v>5</v>
      </c>
      <c r="E122">
        <v>0</v>
      </c>
      <c r="H122">
        <f t="shared" si="1"/>
        <v>0</v>
      </c>
      <c r="J122">
        <v>0</v>
      </c>
    </row>
    <row r="123" spans="1:10" x14ac:dyDescent="0.3">
      <c r="A123">
        <v>94114</v>
      </c>
      <c r="B123">
        <v>20.2</v>
      </c>
      <c r="C123">
        <v>27.8</v>
      </c>
      <c r="D123">
        <v>16.100000000000001</v>
      </c>
      <c r="E123">
        <v>10.7</v>
      </c>
      <c r="H123">
        <f t="shared" si="1"/>
        <v>21.4</v>
      </c>
      <c r="J123">
        <v>10.7</v>
      </c>
    </row>
    <row r="124" spans="1:10" x14ac:dyDescent="0.3">
      <c r="A124">
        <v>94115</v>
      </c>
      <c r="B124">
        <v>19.399999999999999</v>
      </c>
      <c r="C124">
        <v>26.7</v>
      </c>
      <c r="D124">
        <v>17.8</v>
      </c>
      <c r="E124">
        <v>0</v>
      </c>
      <c r="H124">
        <f t="shared" si="1"/>
        <v>0</v>
      </c>
      <c r="J124">
        <v>0</v>
      </c>
    </row>
    <row r="125" spans="1:10" x14ac:dyDescent="0.3">
      <c r="A125">
        <v>94116</v>
      </c>
      <c r="B125">
        <v>26.4</v>
      </c>
      <c r="C125">
        <v>23.3</v>
      </c>
      <c r="D125">
        <v>6.1</v>
      </c>
      <c r="E125">
        <v>0</v>
      </c>
      <c r="H125">
        <f t="shared" si="1"/>
        <v>0</v>
      </c>
      <c r="J125">
        <v>0</v>
      </c>
    </row>
    <row r="126" spans="1:10" x14ac:dyDescent="0.3">
      <c r="A126">
        <v>94117</v>
      </c>
      <c r="B126">
        <v>17.399999999999999</v>
      </c>
      <c r="C126">
        <v>10</v>
      </c>
      <c r="D126">
        <v>3.9</v>
      </c>
      <c r="E126">
        <v>1.5</v>
      </c>
      <c r="H126">
        <f t="shared" si="1"/>
        <v>3</v>
      </c>
      <c r="J126">
        <v>1.5</v>
      </c>
    </row>
    <row r="127" spans="1:10" x14ac:dyDescent="0.3">
      <c r="A127">
        <v>94118</v>
      </c>
      <c r="B127">
        <v>9.1999999999999993</v>
      </c>
      <c r="C127">
        <v>8.3000000000000007</v>
      </c>
      <c r="D127">
        <v>2.8</v>
      </c>
      <c r="E127">
        <v>5.3</v>
      </c>
      <c r="H127">
        <f t="shared" si="1"/>
        <v>10.6</v>
      </c>
      <c r="J127">
        <v>5.3</v>
      </c>
    </row>
    <row r="128" spans="1:10" x14ac:dyDescent="0.3">
      <c r="A128">
        <v>94119</v>
      </c>
      <c r="B128">
        <v>21.5</v>
      </c>
      <c r="C128">
        <v>11.1</v>
      </c>
      <c r="D128">
        <v>0</v>
      </c>
      <c r="E128">
        <v>0</v>
      </c>
      <c r="H128">
        <f t="shared" si="1"/>
        <v>0</v>
      </c>
      <c r="J128">
        <v>0</v>
      </c>
    </row>
    <row r="129" spans="1:10" x14ac:dyDescent="0.3">
      <c r="A129">
        <v>94120</v>
      </c>
      <c r="B129">
        <v>9.1</v>
      </c>
      <c r="C129">
        <v>5.6</v>
      </c>
      <c r="D129">
        <v>0.6</v>
      </c>
      <c r="E129">
        <v>13</v>
      </c>
      <c r="H129">
        <f t="shared" si="1"/>
        <v>26</v>
      </c>
      <c r="J129">
        <v>13</v>
      </c>
    </row>
    <row r="130" spans="1:10" x14ac:dyDescent="0.3">
      <c r="A130">
        <v>94121</v>
      </c>
      <c r="B130">
        <v>21.7</v>
      </c>
      <c r="C130">
        <v>13.3</v>
      </c>
      <c r="D130">
        <v>0.6</v>
      </c>
      <c r="E130">
        <v>0</v>
      </c>
      <c r="H130">
        <f t="shared" si="1"/>
        <v>0</v>
      </c>
      <c r="J130">
        <v>0</v>
      </c>
    </row>
    <row r="131" spans="1:10" x14ac:dyDescent="0.3">
      <c r="A131">
        <v>94122</v>
      </c>
      <c r="B131">
        <v>19.899999999999999</v>
      </c>
      <c r="C131">
        <v>15.6</v>
      </c>
      <c r="D131">
        <v>4.4000000000000004</v>
      </c>
      <c r="E131">
        <v>0</v>
      </c>
      <c r="H131">
        <f t="shared" si="1"/>
        <v>0</v>
      </c>
      <c r="J131">
        <v>0</v>
      </c>
    </row>
    <row r="132" spans="1:10" x14ac:dyDescent="0.3">
      <c r="A132">
        <v>94123</v>
      </c>
      <c r="B132">
        <v>21.5</v>
      </c>
      <c r="C132">
        <v>18.3</v>
      </c>
      <c r="D132">
        <v>4.4000000000000004</v>
      </c>
      <c r="E132">
        <v>0</v>
      </c>
      <c r="H132">
        <f t="shared" si="1"/>
        <v>0</v>
      </c>
      <c r="J132">
        <v>0</v>
      </c>
    </row>
    <row r="133" spans="1:10" x14ac:dyDescent="0.3">
      <c r="A133">
        <v>94124</v>
      </c>
      <c r="B133">
        <v>15.4</v>
      </c>
      <c r="C133">
        <v>18.899999999999999</v>
      </c>
      <c r="D133">
        <v>7.2</v>
      </c>
      <c r="E133">
        <v>1.5</v>
      </c>
      <c r="H133">
        <f t="shared" si="1"/>
        <v>3</v>
      </c>
      <c r="J133">
        <v>1.5</v>
      </c>
    </row>
    <row r="134" spans="1:10" x14ac:dyDescent="0.3">
      <c r="A134">
        <v>94125</v>
      </c>
      <c r="B134">
        <v>16.3</v>
      </c>
      <c r="C134">
        <v>18.899999999999999</v>
      </c>
      <c r="D134">
        <v>6.1</v>
      </c>
      <c r="E134">
        <v>6.3</v>
      </c>
      <c r="H134">
        <f t="shared" si="1"/>
        <v>12.6</v>
      </c>
      <c r="J134">
        <v>6.3</v>
      </c>
    </row>
    <row r="135" spans="1:10" x14ac:dyDescent="0.3">
      <c r="A135">
        <v>94126</v>
      </c>
      <c r="B135">
        <v>9.5</v>
      </c>
      <c r="C135">
        <v>10.6</v>
      </c>
      <c r="D135">
        <v>7.8</v>
      </c>
      <c r="E135">
        <v>4.0999999999999996</v>
      </c>
      <c r="H135">
        <f t="shared" si="1"/>
        <v>8.1999999999999993</v>
      </c>
      <c r="J135">
        <v>4.0999999999999996</v>
      </c>
    </row>
    <row r="136" spans="1:10" x14ac:dyDescent="0.3">
      <c r="A136">
        <v>94127</v>
      </c>
      <c r="B136">
        <v>16.399999999999999</v>
      </c>
      <c r="C136">
        <v>14.4</v>
      </c>
      <c r="D136">
        <v>6.7</v>
      </c>
      <c r="E136">
        <v>1.8</v>
      </c>
      <c r="H136">
        <f t="shared" si="1"/>
        <v>3.6</v>
      </c>
      <c r="J136">
        <v>1.8</v>
      </c>
    </row>
    <row r="137" spans="1:10" x14ac:dyDescent="0.3">
      <c r="A137">
        <v>94128</v>
      </c>
      <c r="B137">
        <v>22</v>
      </c>
      <c r="C137">
        <v>18.3</v>
      </c>
      <c r="D137">
        <v>2.8</v>
      </c>
      <c r="E137">
        <v>0</v>
      </c>
      <c r="H137">
        <f t="shared" si="1"/>
        <v>0</v>
      </c>
      <c r="J137">
        <v>0</v>
      </c>
    </row>
    <row r="138" spans="1:10" x14ac:dyDescent="0.3">
      <c r="A138">
        <v>94129</v>
      </c>
      <c r="B138">
        <v>28.6</v>
      </c>
      <c r="C138">
        <v>22.2</v>
      </c>
      <c r="D138">
        <v>8.3000000000000007</v>
      </c>
      <c r="E138">
        <v>0</v>
      </c>
      <c r="H138">
        <f t="shared" si="1"/>
        <v>0</v>
      </c>
      <c r="J138">
        <v>0</v>
      </c>
    </row>
    <row r="139" spans="1:10" x14ac:dyDescent="0.3">
      <c r="A139">
        <v>94130</v>
      </c>
      <c r="B139">
        <v>28.2</v>
      </c>
      <c r="C139">
        <v>26.1</v>
      </c>
      <c r="D139">
        <v>6.7</v>
      </c>
      <c r="E139">
        <v>0</v>
      </c>
      <c r="H139">
        <f t="shared" ref="H139:H202" si="2">E139*2</f>
        <v>0</v>
      </c>
      <c r="J139">
        <v>0</v>
      </c>
    </row>
    <row r="140" spans="1:10" x14ac:dyDescent="0.3">
      <c r="A140">
        <v>94131</v>
      </c>
      <c r="B140">
        <v>20.399999999999999</v>
      </c>
      <c r="C140">
        <v>26.7</v>
      </c>
      <c r="D140">
        <v>12.8</v>
      </c>
      <c r="E140">
        <v>0</v>
      </c>
      <c r="H140">
        <f t="shared" si="2"/>
        <v>0</v>
      </c>
      <c r="J140">
        <v>0</v>
      </c>
    </row>
    <row r="141" spans="1:10" x14ac:dyDescent="0.3">
      <c r="A141">
        <v>94132</v>
      </c>
      <c r="B141">
        <v>27.4</v>
      </c>
      <c r="C141">
        <v>24.4</v>
      </c>
      <c r="D141">
        <v>8.9</v>
      </c>
      <c r="E141">
        <v>0</v>
      </c>
      <c r="H141">
        <f t="shared" si="2"/>
        <v>0</v>
      </c>
      <c r="J141">
        <v>0</v>
      </c>
    </row>
    <row r="142" spans="1:10" x14ac:dyDescent="0.3">
      <c r="A142">
        <v>94133</v>
      </c>
      <c r="B142">
        <v>20.8</v>
      </c>
      <c r="C142">
        <v>26.1</v>
      </c>
      <c r="D142">
        <v>10</v>
      </c>
      <c r="E142">
        <v>0</v>
      </c>
      <c r="H142">
        <f t="shared" si="2"/>
        <v>0</v>
      </c>
      <c r="J142">
        <v>0</v>
      </c>
    </row>
    <row r="143" spans="1:10" x14ac:dyDescent="0.3">
      <c r="A143">
        <v>94134</v>
      </c>
      <c r="B143">
        <v>10.5</v>
      </c>
      <c r="C143">
        <v>20</v>
      </c>
      <c r="D143">
        <v>12.8</v>
      </c>
      <c r="E143">
        <v>5.0999999999999996</v>
      </c>
      <c r="H143">
        <f t="shared" si="2"/>
        <v>10.199999999999999</v>
      </c>
      <c r="J143">
        <v>5.0999999999999996</v>
      </c>
    </row>
    <row r="144" spans="1:10" x14ac:dyDescent="0.3">
      <c r="A144">
        <v>94135</v>
      </c>
      <c r="B144">
        <v>28.5</v>
      </c>
      <c r="C144">
        <v>25.6</v>
      </c>
      <c r="D144">
        <v>11.1</v>
      </c>
      <c r="E144">
        <v>0</v>
      </c>
      <c r="H144">
        <f t="shared" si="2"/>
        <v>0</v>
      </c>
      <c r="J144">
        <v>0</v>
      </c>
    </row>
    <row r="145" spans="1:10" x14ac:dyDescent="0.3">
      <c r="A145">
        <v>94136</v>
      </c>
      <c r="B145">
        <v>28.8</v>
      </c>
      <c r="C145">
        <v>26.7</v>
      </c>
      <c r="D145">
        <v>12.8</v>
      </c>
      <c r="E145">
        <v>0</v>
      </c>
      <c r="H145">
        <f t="shared" si="2"/>
        <v>0</v>
      </c>
      <c r="J145">
        <v>0</v>
      </c>
    </row>
    <row r="146" spans="1:10" x14ac:dyDescent="0.3">
      <c r="A146">
        <v>94137</v>
      </c>
      <c r="B146">
        <v>28.5</v>
      </c>
      <c r="C146">
        <v>25</v>
      </c>
      <c r="D146">
        <v>13.3</v>
      </c>
      <c r="E146">
        <v>0</v>
      </c>
      <c r="H146">
        <f t="shared" si="2"/>
        <v>0</v>
      </c>
      <c r="J146">
        <v>0</v>
      </c>
    </row>
    <row r="147" spans="1:10" x14ac:dyDescent="0.3">
      <c r="A147">
        <v>94138</v>
      </c>
      <c r="B147">
        <v>28.9</v>
      </c>
      <c r="C147">
        <v>25.6</v>
      </c>
      <c r="D147">
        <v>10.6</v>
      </c>
      <c r="E147">
        <v>0</v>
      </c>
      <c r="H147">
        <f t="shared" si="2"/>
        <v>0</v>
      </c>
      <c r="J147">
        <v>0</v>
      </c>
    </row>
    <row r="148" spans="1:10" x14ac:dyDescent="0.3">
      <c r="A148">
        <v>94139</v>
      </c>
      <c r="B148">
        <v>29.1</v>
      </c>
      <c r="C148">
        <v>25.6</v>
      </c>
      <c r="D148">
        <v>11.7</v>
      </c>
      <c r="E148">
        <v>0</v>
      </c>
      <c r="H148">
        <f t="shared" si="2"/>
        <v>0</v>
      </c>
      <c r="J148">
        <v>0</v>
      </c>
    </row>
    <row r="149" spans="1:10" x14ac:dyDescent="0.3">
      <c r="A149">
        <v>94140</v>
      </c>
      <c r="B149">
        <v>29.3</v>
      </c>
      <c r="C149">
        <v>26.7</v>
      </c>
      <c r="D149">
        <v>10</v>
      </c>
      <c r="E149">
        <v>0</v>
      </c>
      <c r="H149">
        <f t="shared" si="2"/>
        <v>0</v>
      </c>
      <c r="J149">
        <v>0</v>
      </c>
    </row>
    <row r="150" spans="1:10" x14ac:dyDescent="0.3">
      <c r="A150">
        <v>94141</v>
      </c>
      <c r="B150">
        <v>28.5</v>
      </c>
      <c r="C150">
        <v>27.8</v>
      </c>
      <c r="D150">
        <v>11.7</v>
      </c>
      <c r="E150">
        <v>0</v>
      </c>
      <c r="H150">
        <f t="shared" si="2"/>
        <v>0</v>
      </c>
      <c r="J150">
        <v>0</v>
      </c>
    </row>
    <row r="151" spans="1:10" x14ac:dyDescent="0.3">
      <c r="A151">
        <v>94142</v>
      </c>
      <c r="B151">
        <v>26.8</v>
      </c>
      <c r="C151">
        <v>30.6</v>
      </c>
      <c r="D151">
        <v>15</v>
      </c>
      <c r="E151">
        <v>0</v>
      </c>
      <c r="H151">
        <f t="shared" si="2"/>
        <v>0</v>
      </c>
      <c r="J151">
        <v>0</v>
      </c>
    </row>
    <row r="152" spans="1:10" x14ac:dyDescent="0.3">
      <c r="A152">
        <v>94143</v>
      </c>
      <c r="B152">
        <v>20.3</v>
      </c>
      <c r="C152">
        <v>31.7</v>
      </c>
      <c r="D152">
        <v>15.6</v>
      </c>
      <c r="E152">
        <v>21.1</v>
      </c>
      <c r="H152">
        <f t="shared" si="2"/>
        <v>42.2</v>
      </c>
      <c r="J152">
        <v>21.1</v>
      </c>
    </row>
    <row r="153" spans="1:10" x14ac:dyDescent="0.3">
      <c r="A153">
        <v>94144</v>
      </c>
      <c r="B153">
        <v>19.8</v>
      </c>
      <c r="C153">
        <v>28.3</v>
      </c>
      <c r="D153">
        <v>15.6</v>
      </c>
      <c r="E153">
        <v>0</v>
      </c>
      <c r="H153">
        <f t="shared" si="2"/>
        <v>0</v>
      </c>
      <c r="J153">
        <v>0</v>
      </c>
    </row>
    <row r="154" spans="1:10" x14ac:dyDescent="0.3">
      <c r="A154">
        <v>94145</v>
      </c>
      <c r="B154">
        <v>21</v>
      </c>
      <c r="C154">
        <v>26.1</v>
      </c>
      <c r="D154">
        <v>12.8</v>
      </c>
      <c r="E154">
        <v>4.8</v>
      </c>
      <c r="H154">
        <f t="shared" si="2"/>
        <v>9.6</v>
      </c>
      <c r="J154">
        <v>4.8</v>
      </c>
    </row>
    <row r="155" spans="1:10" x14ac:dyDescent="0.3">
      <c r="A155">
        <v>94146</v>
      </c>
      <c r="B155">
        <v>28.5</v>
      </c>
      <c r="C155">
        <v>21.7</v>
      </c>
      <c r="D155">
        <v>10</v>
      </c>
      <c r="E155">
        <v>0</v>
      </c>
      <c r="H155">
        <f t="shared" si="2"/>
        <v>0</v>
      </c>
      <c r="J155">
        <v>0</v>
      </c>
    </row>
    <row r="156" spans="1:10" x14ac:dyDescent="0.3">
      <c r="A156">
        <v>94147</v>
      </c>
      <c r="B156">
        <v>29.2</v>
      </c>
      <c r="C156">
        <v>23.3</v>
      </c>
      <c r="D156">
        <v>8.3000000000000007</v>
      </c>
      <c r="E156">
        <v>0</v>
      </c>
      <c r="H156">
        <f t="shared" si="2"/>
        <v>0</v>
      </c>
      <c r="J156">
        <v>0</v>
      </c>
    </row>
    <row r="157" spans="1:10" x14ac:dyDescent="0.3">
      <c r="A157">
        <v>94148</v>
      </c>
      <c r="B157">
        <v>29.6</v>
      </c>
      <c r="C157">
        <v>25</v>
      </c>
      <c r="D157">
        <v>13.3</v>
      </c>
      <c r="E157">
        <v>0</v>
      </c>
      <c r="H157">
        <f t="shared" si="2"/>
        <v>0</v>
      </c>
      <c r="J157">
        <v>0</v>
      </c>
    </row>
    <row r="158" spans="1:10" x14ac:dyDescent="0.3">
      <c r="A158">
        <v>94149</v>
      </c>
      <c r="B158">
        <v>14</v>
      </c>
      <c r="C158">
        <v>24.4</v>
      </c>
      <c r="D158">
        <v>17.2</v>
      </c>
      <c r="E158">
        <v>0</v>
      </c>
      <c r="H158">
        <f t="shared" si="2"/>
        <v>0</v>
      </c>
      <c r="J158">
        <v>0</v>
      </c>
    </row>
    <row r="159" spans="1:10" x14ac:dyDescent="0.3">
      <c r="A159">
        <v>94150</v>
      </c>
      <c r="B159">
        <v>28.1</v>
      </c>
      <c r="C159">
        <v>29.4</v>
      </c>
      <c r="D159">
        <v>16.100000000000001</v>
      </c>
      <c r="E159">
        <v>0</v>
      </c>
      <c r="H159">
        <f t="shared" si="2"/>
        <v>0</v>
      </c>
      <c r="J159">
        <v>0</v>
      </c>
    </row>
    <row r="160" spans="1:10" x14ac:dyDescent="0.3">
      <c r="A160">
        <v>94151</v>
      </c>
      <c r="B160">
        <v>26.1</v>
      </c>
      <c r="C160">
        <v>30</v>
      </c>
      <c r="D160">
        <v>18.3</v>
      </c>
      <c r="E160">
        <v>0</v>
      </c>
      <c r="H160">
        <f t="shared" si="2"/>
        <v>0</v>
      </c>
      <c r="J160">
        <v>0</v>
      </c>
    </row>
    <row r="161" spans="1:10" x14ac:dyDescent="0.3">
      <c r="A161">
        <v>94152</v>
      </c>
      <c r="B161">
        <v>14.5</v>
      </c>
      <c r="C161">
        <v>21.7</v>
      </c>
      <c r="D161">
        <v>12.8</v>
      </c>
      <c r="E161">
        <v>27.9</v>
      </c>
      <c r="H161">
        <f t="shared" si="2"/>
        <v>55.8</v>
      </c>
      <c r="J161">
        <v>27.9</v>
      </c>
    </row>
    <row r="162" spans="1:10" x14ac:dyDescent="0.3">
      <c r="A162">
        <v>94153</v>
      </c>
      <c r="B162">
        <v>11.4</v>
      </c>
      <c r="C162">
        <v>16.100000000000001</v>
      </c>
      <c r="D162">
        <v>11.1</v>
      </c>
      <c r="E162">
        <v>2</v>
      </c>
      <c r="H162">
        <f t="shared" si="2"/>
        <v>4</v>
      </c>
      <c r="J162">
        <v>2</v>
      </c>
    </row>
    <row r="163" spans="1:10" x14ac:dyDescent="0.3">
      <c r="A163">
        <v>94154</v>
      </c>
      <c r="B163">
        <v>29.8</v>
      </c>
      <c r="C163">
        <v>23.3</v>
      </c>
      <c r="D163">
        <v>9.4</v>
      </c>
      <c r="E163">
        <v>0</v>
      </c>
      <c r="H163">
        <f t="shared" si="2"/>
        <v>0</v>
      </c>
      <c r="J163">
        <v>0</v>
      </c>
    </row>
    <row r="164" spans="1:10" x14ac:dyDescent="0.3">
      <c r="A164">
        <v>94155</v>
      </c>
      <c r="B164">
        <v>21</v>
      </c>
      <c r="C164">
        <v>25</v>
      </c>
      <c r="D164">
        <v>11.7</v>
      </c>
      <c r="E164">
        <v>0</v>
      </c>
      <c r="H164">
        <f t="shared" si="2"/>
        <v>0</v>
      </c>
      <c r="J164">
        <v>0</v>
      </c>
    </row>
    <row r="165" spans="1:10" x14ac:dyDescent="0.3">
      <c r="A165">
        <v>94156</v>
      </c>
      <c r="B165">
        <v>20.100000000000001</v>
      </c>
      <c r="C165">
        <v>26.7</v>
      </c>
      <c r="D165">
        <v>16.7</v>
      </c>
      <c r="E165">
        <v>24.1</v>
      </c>
      <c r="H165">
        <f t="shared" si="2"/>
        <v>48.2</v>
      </c>
      <c r="J165">
        <v>24.1</v>
      </c>
    </row>
    <row r="166" spans="1:10" x14ac:dyDescent="0.3">
      <c r="A166">
        <v>94157</v>
      </c>
      <c r="B166">
        <v>28</v>
      </c>
      <c r="C166">
        <v>32.200000000000003</v>
      </c>
      <c r="D166">
        <v>18.3</v>
      </c>
      <c r="E166">
        <v>0</v>
      </c>
      <c r="H166">
        <f t="shared" si="2"/>
        <v>0</v>
      </c>
      <c r="J166">
        <v>0</v>
      </c>
    </row>
    <row r="167" spans="1:10" x14ac:dyDescent="0.3">
      <c r="A167">
        <v>94158</v>
      </c>
      <c r="B167">
        <v>17.3</v>
      </c>
      <c r="C167">
        <v>29.4</v>
      </c>
      <c r="D167">
        <v>17.8</v>
      </c>
      <c r="E167">
        <v>0</v>
      </c>
      <c r="H167">
        <f t="shared" si="2"/>
        <v>0</v>
      </c>
      <c r="J167">
        <v>0</v>
      </c>
    </row>
    <row r="168" spans="1:10" x14ac:dyDescent="0.3">
      <c r="A168">
        <v>94159</v>
      </c>
      <c r="B168">
        <v>10.4</v>
      </c>
      <c r="C168">
        <v>18.3</v>
      </c>
      <c r="D168">
        <v>13.9</v>
      </c>
      <c r="E168">
        <v>0</v>
      </c>
      <c r="H168">
        <f t="shared" si="2"/>
        <v>0</v>
      </c>
      <c r="J168">
        <v>0</v>
      </c>
    </row>
    <row r="169" spans="1:10" x14ac:dyDescent="0.3">
      <c r="A169">
        <v>94160</v>
      </c>
      <c r="B169">
        <v>19.399999999999999</v>
      </c>
      <c r="C169">
        <v>23.9</v>
      </c>
      <c r="D169">
        <v>12.8</v>
      </c>
      <c r="E169">
        <v>1.5</v>
      </c>
      <c r="H169">
        <f t="shared" si="2"/>
        <v>3</v>
      </c>
      <c r="J169">
        <v>1.5</v>
      </c>
    </row>
    <row r="170" spans="1:10" x14ac:dyDescent="0.3">
      <c r="A170">
        <v>94161</v>
      </c>
      <c r="B170">
        <v>26</v>
      </c>
      <c r="C170">
        <v>26.1</v>
      </c>
      <c r="D170">
        <v>13.9</v>
      </c>
      <c r="E170">
        <v>10.9</v>
      </c>
      <c r="H170">
        <f t="shared" si="2"/>
        <v>21.8</v>
      </c>
      <c r="J170">
        <v>10.9</v>
      </c>
    </row>
    <row r="171" spans="1:10" x14ac:dyDescent="0.3">
      <c r="A171">
        <v>94162</v>
      </c>
      <c r="B171">
        <v>26.6</v>
      </c>
      <c r="C171">
        <v>26.1</v>
      </c>
      <c r="D171">
        <v>11.7</v>
      </c>
      <c r="E171">
        <v>0</v>
      </c>
      <c r="H171">
        <f t="shared" si="2"/>
        <v>0</v>
      </c>
      <c r="J171">
        <v>0</v>
      </c>
    </row>
    <row r="172" spans="1:10" x14ac:dyDescent="0.3">
      <c r="A172">
        <v>94163</v>
      </c>
      <c r="B172">
        <v>19.7</v>
      </c>
      <c r="C172">
        <v>27.8</v>
      </c>
      <c r="D172">
        <v>15</v>
      </c>
      <c r="E172">
        <v>26.9</v>
      </c>
      <c r="H172">
        <f t="shared" si="2"/>
        <v>53.8</v>
      </c>
      <c r="J172">
        <v>26.9</v>
      </c>
    </row>
    <row r="173" spans="1:10" x14ac:dyDescent="0.3">
      <c r="A173">
        <v>94164</v>
      </c>
      <c r="B173">
        <v>26.8</v>
      </c>
      <c r="C173">
        <v>31.1</v>
      </c>
      <c r="D173">
        <v>22.2</v>
      </c>
      <c r="E173">
        <v>0.5</v>
      </c>
      <c r="H173">
        <f t="shared" si="2"/>
        <v>1</v>
      </c>
      <c r="J173">
        <v>0.5</v>
      </c>
    </row>
    <row r="174" spans="1:10" x14ac:dyDescent="0.3">
      <c r="A174">
        <v>94165</v>
      </c>
      <c r="B174">
        <v>28.7</v>
      </c>
      <c r="C174">
        <v>32.799999999999997</v>
      </c>
      <c r="D174">
        <v>23.9</v>
      </c>
      <c r="E174">
        <v>0</v>
      </c>
      <c r="H174">
        <f t="shared" si="2"/>
        <v>0</v>
      </c>
      <c r="J174">
        <v>0</v>
      </c>
    </row>
    <row r="175" spans="1:10" x14ac:dyDescent="0.3">
      <c r="A175">
        <v>94166</v>
      </c>
      <c r="B175">
        <v>27.6</v>
      </c>
      <c r="C175">
        <v>31.1</v>
      </c>
      <c r="D175">
        <v>23.3</v>
      </c>
      <c r="E175">
        <v>0</v>
      </c>
      <c r="H175">
        <f t="shared" si="2"/>
        <v>0</v>
      </c>
      <c r="J175">
        <v>0</v>
      </c>
    </row>
    <row r="176" spans="1:10" x14ac:dyDescent="0.3">
      <c r="A176">
        <v>94167</v>
      </c>
      <c r="B176">
        <v>23.3</v>
      </c>
      <c r="C176">
        <v>30</v>
      </c>
      <c r="D176">
        <v>20.6</v>
      </c>
      <c r="E176">
        <v>4.8</v>
      </c>
      <c r="H176">
        <f t="shared" si="2"/>
        <v>9.6</v>
      </c>
      <c r="J176">
        <v>4.8</v>
      </c>
    </row>
    <row r="177" spans="1:10" x14ac:dyDescent="0.3">
      <c r="A177">
        <v>94168</v>
      </c>
      <c r="B177">
        <v>29</v>
      </c>
      <c r="C177">
        <v>32.200000000000003</v>
      </c>
      <c r="D177">
        <v>22.2</v>
      </c>
      <c r="E177">
        <v>2</v>
      </c>
      <c r="H177">
        <f t="shared" si="2"/>
        <v>4</v>
      </c>
      <c r="J177">
        <v>2</v>
      </c>
    </row>
    <row r="178" spans="1:10" x14ac:dyDescent="0.3">
      <c r="A178">
        <v>94169</v>
      </c>
      <c r="B178">
        <v>26.8</v>
      </c>
      <c r="C178">
        <v>32.799999999999997</v>
      </c>
      <c r="D178">
        <v>21.1</v>
      </c>
      <c r="E178">
        <v>0</v>
      </c>
      <c r="H178">
        <f t="shared" si="2"/>
        <v>0</v>
      </c>
      <c r="J178">
        <v>0</v>
      </c>
    </row>
    <row r="179" spans="1:10" x14ac:dyDescent="0.3">
      <c r="A179">
        <v>94170</v>
      </c>
      <c r="B179">
        <v>19.5</v>
      </c>
      <c r="C179">
        <v>32.200000000000003</v>
      </c>
      <c r="D179">
        <v>21.7</v>
      </c>
      <c r="E179">
        <v>0</v>
      </c>
      <c r="H179">
        <f t="shared" si="2"/>
        <v>0</v>
      </c>
      <c r="J179">
        <v>0</v>
      </c>
    </row>
    <row r="180" spans="1:10" x14ac:dyDescent="0.3">
      <c r="A180">
        <v>94171</v>
      </c>
      <c r="B180">
        <v>23.5</v>
      </c>
      <c r="C180">
        <v>33.299999999999997</v>
      </c>
      <c r="D180">
        <v>20.6</v>
      </c>
      <c r="E180">
        <v>1.8</v>
      </c>
      <c r="H180">
        <f t="shared" si="2"/>
        <v>3.6</v>
      </c>
      <c r="J180">
        <v>1.8</v>
      </c>
    </row>
    <row r="181" spans="1:10" x14ac:dyDescent="0.3">
      <c r="A181">
        <v>94172</v>
      </c>
      <c r="B181">
        <v>27.8</v>
      </c>
      <c r="C181">
        <v>31.7</v>
      </c>
      <c r="D181">
        <v>20</v>
      </c>
      <c r="E181">
        <v>0</v>
      </c>
      <c r="H181">
        <f t="shared" si="2"/>
        <v>0</v>
      </c>
      <c r="J181">
        <v>0</v>
      </c>
    </row>
    <row r="182" spans="1:10" x14ac:dyDescent="0.3">
      <c r="A182">
        <v>94173</v>
      </c>
      <c r="B182">
        <v>19.3</v>
      </c>
      <c r="C182">
        <v>29.4</v>
      </c>
      <c r="D182">
        <v>18.899999999999999</v>
      </c>
      <c r="E182">
        <v>1.5</v>
      </c>
      <c r="H182">
        <f t="shared" si="2"/>
        <v>3</v>
      </c>
      <c r="J182">
        <v>1.5</v>
      </c>
    </row>
    <row r="183" spans="1:10" x14ac:dyDescent="0.3">
      <c r="A183">
        <v>94174</v>
      </c>
      <c r="B183">
        <v>11.7</v>
      </c>
      <c r="C183">
        <v>25</v>
      </c>
      <c r="D183">
        <v>16.100000000000001</v>
      </c>
      <c r="E183">
        <v>29</v>
      </c>
      <c r="H183">
        <f t="shared" si="2"/>
        <v>58</v>
      </c>
      <c r="J183">
        <v>29</v>
      </c>
    </row>
    <row r="184" spans="1:10" x14ac:dyDescent="0.3">
      <c r="A184">
        <v>94175</v>
      </c>
      <c r="B184">
        <v>22.8</v>
      </c>
      <c r="C184">
        <v>28.3</v>
      </c>
      <c r="D184">
        <v>15.6</v>
      </c>
      <c r="E184">
        <v>0</v>
      </c>
      <c r="H184">
        <f t="shared" si="2"/>
        <v>0</v>
      </c>
      <c r="J184">
        <v>0</v>
      </c>
    </row>
    <row r="185" spans="1:10" x14ac:dyDescent="0.3">
      <c r="A185">
        <v>94176</v>
      </c>
      <c r="B185">
        <v>22.4</v>
      </c>
      <c r="C185">
        <v>30</v>
      </c>
      <c r="D185">
        <v>16.100000000000001</v>
      </c>
      <c r="E185">
        <v>1.3</v>
      </c>
      <c r="H185">
        <f t="shared" si="2"/>
        <v>2.6</v>
      </c>
      <c r="J185">
        <v>1.3</v>
      </c>
    </row>
    <row r="186" spans="1:10" x14ac:dyDescent="0.3">
      <c r="A186">
        <v>94177</v>
      </c>
      <c r="B186">
        <v>26.2</v>
      </c>
      <c r="C186">
        <v>26.7</v>
      </c>
      <c r="D186">
        <v>17.8</v>
      </c>
      <c r="E186">
        <v>0</v>
      </c>
      <c r="H186">
        <f t="shared" si="2"/>
        <v>0</v>
      </c>
      <c r="J186">
        <v>0</v>
      </c>
    </row>
    <row r="187" spans="1:10" x14ac:dyDescent="0.3">
      <c r="A187">
        <v>94178</v>
      </c>
      <c r="B187">
        <v>22.8</v>
      </c>
      <c r="C187">
        <v>27.8</v>
      </c>
      <c r="D187">
        <v>15</v>
      </c>
      <c r="E187">
        <v>0</v>
      </c>
      <c r="H187">
        <f t="shared" si="2"/>
        <v>0</v>
      </c>
      <c r="J187">
        <v>0</v>
      </c>
    </row>
    <row r="188" spans="1:10" x14ac:dyDescent="0.3">
      <c r="A188">
        <v>94179</v>
      </c>
      <c r="B188">
        <v>28.2</v>
      </c>
      <c r="C188">
        <v>28.3</v>
      </c>
      <c r="D188">
        <v>16.100000000000001</v>
      </c>
      <c r="E188">
        <v>0</v>
      </c>
      <c r="H188">
        <f t="shared" si="2"/>
        <v>0</v>
      </c>
      <c r="J188">
        <v>0</v>
      </c>
    </row>
    <row r="189" spans="1:10" x14ac:dyDescent="0.3">
      <c r="A189">
        <v>94180</v>
      </c>
      <c r="B189">
        <v>29.5</v>
      </c>
      <c r="C189">
        <v>27.8</v>
      </c>
      <c r="D189">
        <v>17.2</v>
      </c>
      <c r="E189">
        <v>0</v>
      </c>
      <c r="H189">
        <f t="shared" si="2"/>
        <v>0</v>
      </c>
      <c r="J189">
        <v>0</v>
      </c>
    </row>
    <row r="190" spans="1:10" x14ac:dyDescent="0.3">
      <c r="A190">
        <v>94181</v>
      </c>
      <c r="B190">
        <v>29.5</v>
      </c>
      <c r="C190">
        <v>29.4</v>
      </c>
      <c r="D190">
        <v>15</v>
      </c>
      <c r="E190">
        <v>0</v>
      </c>
      <c r="H190">
        <f t="shared" si="2"/>
        <v>0</v>
      </c>
      <c r="J190">
        <v>0</v>
      </c>
    </row>
    <row r="191" spans="1:10" x14ac:dyDescent="0.3">
      <c r="A191">
        <v>94182</v>
      </c>
      <c r="B191">
        <v>23.7</v>
      </c>
      <c r="C191">
        <v>32.200000000000003</v>
      </c>
      <c r="D191">
        <v>16.7</v>
      </c>
      <c r="E191">
        <v>30</v>
      </c>
      <c r="H191">
        <f t="shared" si="2"/>
        <v>60</v>
      </c>
      <c r="J191">
        <v>30</v>
      </c>
    </row>
    <row r="192" spans="1:10" x14ac:dyDescent="0.3">
      <c r="A192">
        <v>94183</v>
      </c>
      <c r="B192">
        <v>21.2</v>
      </c>
      <c r="C192">
        <v>26.7</v>
      </c>
      <c r="D192">
        <v>17.8</v>
      </c>
      <c r="E192">
        <v>0</v>
      </c>
      <c r="H192">
        <f t="shared" si="2"/>
        <v>0</v>
      </c>
      <c r="J192">
        <v>0</v>
      </c>
    </row>
    <row r="193" spans="1:10" x14ac:dyDescent="0.3">
      <c r="A193">
        <v>94184</v>
      </c>
      <c r="B193">
        <v>11.4</v>
      </c>
      <c r="C193">
        <v>23.3</v>
      </c>
      <c r="D193">
        <v>15.6</v>
      </c>
      <c r="E193">
        <v>0.3</v>
      </c>
      <c r="H193">
        <f t="shared" si="2"/>
        <v>0.6</v>
      </c>
      <c r="J193">
        <v>0.3</v>
      </c>
    </row>
    <row r="194" spans="1:10" x14ac:dyDescent="0.3">
      <c r="A194">
        <v>94185</v>
      </c>
      <c r="B194">
        <v>24.9</v>
      </c>
      <c r="C194">
        <v>31.7</v>
      </c>
      <c r="D194">
        <v>21.1</v>
      </c>
      <c r="E194">
        <v>0</v>
      </c>
      <c r="H194">
        <f t="shared" si="2"/>
        <v>0</v>
      </c>
      <c r="J194">
        <v>0</v>
      </c>
    </row>
    <row r="195" spans="1:10" x14ac:dyDescent="0.3">
      <c r="A195">
        <v>94186</v>
      </c>
      <c r="B195">
        <v>24.9</v>
      </c>
      <c r="C195">
        <v>32.200000000000003</v>
      </c>
      <c r="D195">
        <v>21.1</v>
      </c>
      <c r="E195">
        <v>0</v>
      </c>
      <c r="H195">
        <f t="shared" si="2"/>
        <v>0</v>
      </c>
      <c r="J195">
        <v>0</v>
      </c>
    </row>
    <row r="196" spans="1:10" x14ac:dyDescent="0.3">
      <c r="A196">
        <v>94187</v>
      </c>
      <c r="B196">
        <v>26.2</v>
      </c>
      <c r="C196">
        <v>32.200000000000003</v>
      </c>
      <c r="D196">
        <v>20.6</v>
      </c>
      <c r="E196">
        <v>0</v>
      </c>
      <c r="H196">
        <f t="shared" si="2"/>
        <v>0</v>
      </c>
      <c r="J196">
        <v>0</v>
      </c>
    </row>
    <row r="197" spans="1:10" x14ac:dyDescent="0.3">
      <c r="A197">
        <v>94188</v>
      </c>
      <c r="B197">
        <v>22.9</v>
      </c>
      <c r="C197">
        <v>30.6</v>
      </c>
      <c r="D197">
        <v>20</v>
      </c>
      <c r="E197">
        <v>10.199999999999999</v>
      </c>
      <c r="H197">
        <f t="shared" si="2"/>
        <v>20.399999999999999</v>
      </c>
      <c r="J197">
        <v>10.199999999999999</v>
      </c>
    </row>
    <row r="198" spans="1:10" x14ac:dyDescent="0.3">
      <c r="A198">
        <v>94189</v>
      </c>
      <c r="B198">
        <v>12.1</v>
      </c>
      <c r="C198">
        <v>22.2</v>
      </c>
      <c r="D198">
        <v>14.4</v>
      </c>
      <c r="E198">
        <v>0.8</v>
      </c>
      <c r="H198">
        <f t="shared" si="2"/>
        <v>1.6</v>
      </c>
      <c r="J198">
        <v>0.8</v>
      </c>
    </row>
    <row r="199" spans="1:10" x14ac:dyDescent="0.3">
      <c r="A199">
        <v>94190</v>
      </c>
      <c r="B199">
        <v>27.8</v>
      </c>
      <c r="C199">
        <v>25.6</v>
      </c>
      <c r="D199">
        <v>15</v>
      </c>
      <c r="E199">
        <v>0</v>
      </c>
      <c r="H199">
        <f t="shared" si="2"/>
        <v>0</v>
      </c>
      <c r="J199">
        <v>0</v>
      </c>
    </row>
    <row r="200" spans="1:10" x14ac:dyDescent="0.3">
      <c r="A200">
        <v>94191</v>
      </c>
      <c r="B200">
        <v>27.1</v>
      </c>
      <c r="C200">
        <v>27.2</v>
      </c>
      <c r="D200">
        <v>13.9</v>
      </c>
      <c r="E200">
        <v>0</v>
      </c>
      <c r="H200">
        <f t="shared" si="2"/>
        <v>0</v>
      </c>
      <c r="J200">
        <v>0</v>
      </c>
    </row>
    <row r="201" spans="1:10" x14ac:dyDescent="0.3">
      <c r="A201">
        <v>94192</v>
      </c>
      <c r="B201">
        <v>27.2</v>
      </c>
      <c r="C201">
        <v>31.7</v>
      </c>
      <c r="D201">
        <v>19.399999999999999</v>
      </c>
      <c r="E201">
        <v>0</v>
      </c>
      <c r="H201">
        <f t="shared" si="2"/>
        <v>0</v>
      </c>
      <c r="J201">
        <v>0</v>
      </c>
    </row>
    <row r="202" spans="1:10" x14ac:dyDescent="0.3">
      <c r="A202">
        <v>94193</v>
      </c>
      <c r="B202">
        <v>17.8</v>
      </c>
      <c r="C202">
        <v>31.1</v>
      </c>
      <c r="D202">
        <v>17.2</v>
      </c>
      <c r="E202">
        <v>17.8</v>
      </c>
      <c r="H202">
        <f t="shared" si="2"/>
        <v>35.6</v>
      </c>
      <c r="J202">
        <v>17.8</v>
      </c>
    </row>
    <row r="203" spans="1:10" x14ac:dyDescent="0.3">
      <c r="A203">
        <v>94194</v>
      </c>
      <c r="B203">
        <v>17.100000000000001</v>
      </c>
      <c r="C203">
        <v>28.9</v>
      </c>
      <c r="D203">
        <v>17.8</v>
      </c>
      <c r="E203">
        <v>10.4</v>
      </c>
      <c r="H203">
        <f t="shared" ref="H203:H266" si="3">E203*2</f>
        <v>20.8</v>
      </c>
      <c r="J203">
        <v>10.4</v>
      </c>
    </row>
    <row r="204" spans="1:10" x14ac:dyDescent="0.3">
      <c r="A204">
        <v>94195</v>
      </c>
      <c r="B204">
        <v>19.5</v>
      </c>
      <c r="C204">
        <v>23.9</v>
      </c>
      <c r="D204">
        <v>17.2</v>
      </c>
      <c r="E204">
        <v>0</v>
      </c>
      <c r="H204">
        <f t="shared" si="3"/>
        <v>0</v>
      </c>
      <c r="J204">
        <v>0</v>
      </c>
    </row>
    <row r="205" spans="1:10" x14ac:dyDescent="0.3">
      <c r="A205">
        <v>94196</v>
      </c>
      <c r="B205">
        <v>23.3</v>
      </c>
      <c r="C205">
        <v>27.8</v>
      </c>
      <c r="D205">
        <v>13.9</v>
      </c>
      <c r="E205">
        <v>0</v>
      </c>
      <c r="H205">
        <f t="shared" si="3"/>
        <v>0</v>
      </c>
      <c r="J205">
        <v>0</v>
      </c>
    </row>
    <row r="206" spans="1:10" x14ac:dyDescent="0.3">
      <c r="A206">
        <v>94197</v>
      </c>
      <c r="B206">
        <v>20.8</v>
      </c>
      <c r="C206">
        <v>28.3</v>
      </c>
      <c r="D206">
        <v>18.899999999999999</v>
      </c>
      <c r="E206">
        <v>0</v>
      </c>
      <c r="H206">
        <f t="shared" si="3"/>
        <v>0</v>
      </c>
      <c r="J206">
        <v>0</v>
      </c>
    </row>
    <row r="207" spans="1:10" x14ac:dyDescent="0.3">
      <c r="A207">
        <v>94198</v>
      </c>
      <c r="B207">
        <v>25.7</v>
      </c>
      <c r="C207">
        <v>30</v>
      </c>
      <c r="D207">
        <v>18.3</v>
      </c>
      <c r="E207">
        <v>0</v>
      </c>
      <c r="H207">
        <f t="shared" si="3"/>
        <v>0</v>
      </c>
      <c r="J207">
        <v>0</v>
      </c>
    </row>
    <row r="208" spans="1:10" x14ac:dyDescent="0.3">
      <c r="A208">
        <v>94199</v>
      </c>
      <c r="B208">
        <v>26</v>
      </c>
      <c r="C208">
        <v>30.6</v>
      </c>
      <c r="D208">
        <v>17.8</v>
      </c>
      <c r="E208">
        <v>0</v>
      </c>
      <c r="H208">
        <f t="shared" si="3"/>
        <v>0</v>
      </c>
      <c r="J208">
        <v>0</v>
      </c>
    </row>
    <row r="209" spans="1:10" x14ac:dyDescent="0.3">
      <c r="A209">
        <v>94200</v>
      </c>
      <c r="B209">
        <v>27.1</v>
      </c>
      <c r="C209">
        <v>35</v>
      </c>
      <c r="D209">
        <v>21.7</v>
      </c>
      <c r="E209">
        <v>11.9</v>
      </c>
      <c r="H209">
        <f t="shared" si="3"/>
        <v>23.8</v>
      </c>
      <c r="J209">
        <v>11.9</v>
      </c>
    </row>
    <row r="210" spans="1:10" x14ac:dyDescent="0.3">
      <c r="A210">
        <v>94201</v>
      </c>
      <c r="B210">
        <v>18.7</v>
      </c>
      <c r="C210">
        <v>26.1</v>
      </c>
      <c r="D210">
        <v>17.8</v>
      </c>
      <c r="E210">
        <v>0.8</v>
      </c>
      <c r="H210">
        <f t="shared" si="3"/>
        <v>1.6</v>
      </c>
      <c r="J210">
        <v>0.8</v>
      </c>
    </row>
    <row r="211" spans="1:10" x14ac:dyDescent="0.3">
      <c r="A211">
        <v>94202</v>
      </c>
      <c r="B211">
        <v>24.4</v>
      </c>
      <c r="C211">
        <v>27.2</v>
      </c>
      <c r="D211">
        <v>15.6</v>
      </c>
      <c r="E211">
        <v>1</v>
      </c>
      <c r="H211">
        <f t="shared" si="3"/>
        <v>2</v>
      </c>
      <c r="J211">
        <v>1</v>
      </c>
    </row>
    <row r="212" spans="1:10" x14ac:dyDescent="0.3">
      <c r="A212">
        <v>94203</v>
      </c>
      <c r="B212">
        <v>23.4</v>
      </c>
      <c r="C212">
        <v>28.3</v>
      </c>
      <c r="D212">
        <v>16.100000000000001</v>
      </c>
      <c r="E212">
        <v>0</v>
      </c>
      <c r="H212">
        <f t="shared" si="3"/>
        <v>0</v>
      </c>
      <c r="J212">
        <v>0</v>
      </c>
    </row>
    <row r="213" spans="1:10" x14ac:dyDescent="0.3">
      <c r="A213">
        <v>94204</v>
      </c>
      <c r="B213">
        <v>27.8</v>
      </c>
      <c r="C213">
        <v>30</v>
      </c>
      <c r="D213">
        <v>16.7</v>
      </c>
      <c r="E213">
        <v>0</v>
      </c>
      <c r="H213">
        <f t="shared" si="3"/>
        <v>0</v>
      </c>
      <c r="J213">
        <v>0</v>
      </c>
    </row>
    <row r="214" spans="1:10" x14ac:dyDescent="0.3">
      <c r="A214">
        <v>94205</v>
      </c>
      <c r="B214">
        <v>23.5</v>
      </c>
      <c r="C214">
        <v>27.2</v>
      </c>
      <c r="D214">
        <v>17.2</v>
      </c>
      <c r="E214">
        <v>0</v>
      </c>
      <c r="H214">
        <f t="shared" si="3"/>
        <v>0</v>
      </c>
      <c r="J214">
        <v>0</v>
      </c>
    </row>
    <row r="215" spans="1:10" x14ac:dyDescent="0.3">
      <c r="A215">
        <v>94206</v>
      </c>
      <c r="B215">
        <v>24.1</v>
      </c>
      <c r="C215">
        <v>29.4</v>
      </c>
      <c r="D215">
        <v>15.6</v>
      </c>
      <c r="E215">
        <v>0</v>
      </c>
      <c r="H215">
        <f t="shared" si="3"/>
        <v>0</v>
      </c>
      <c r="J215">
        <v>0</v>
      </c>
    </row>
    <row r="216" spans="1:10" x14ac:dyDescent="0.3">
      <c r="A216">
        <v>94207</v>
      </c>
      <c r="B216">
        <v>25.7</v>
      </c>
      <c r="C216">
        <v>25</v>
      </c>
      <c r="D216">
        <v>12.8</v>
      </c>
      <c r="E216">
        <v>0</v>
      </c>
      <c r="H216">
        <f t="shared" si="3"/>
        <v>0</v>
      </c>
      <c r="J216">
        <v>0</v>
      </c>
    </row>
    <row r="217" spans="1:10" x14ac:dyDescent="0.3">
      <c r="A217">
        <v>94208</v>
      </c>
      <c r="B217">
        <v>23.4</v>
      </c>
      <c r="C217">
        <v>26.1</v>
      </c>
      <c r="D217">
        <v>15</v>
      </c>
      <c r="E217">
        <v>4.0999999999999996</v>
      </c>
      <c r="H217">
        <f t="shared" si="3"/>
        <v>8.1999999999999993</v>
      </c>
      <c r="J217">
        <v>4.0999999999999996</v>
      </c>
    </row>
    <row r="218" spans="1:10" x14ac:dyDescent="0.3">
      <c r="A218">
        <v>94209</v>
      </c>
      <c r="B218">
        <v>25.5</v>
      </c>
      <c r="C218">
        <v>27.2</v>
      </c>
      <c r="D218">
        <v>12.8</v>
      </c>
      <c r="E218">
        <v>0</v>
      </c>
      <c r="H218">
        <f t="shared" si="3"/>
        <v>0</v>
      </c>
      <c r="J218">
        <v>0</v>
      </c>
    </row>
    <row r="219" spans="1:10" x14ac:dyDescent="0.3">
      <c r="A219">
        <v>94210</v>
      </c>
      <c r="B219">
        <v>14.6</v>
      </c>
      <c r="C219">
        <v>27.8</v>
      </c>
      <c r="D219">
        <v>13.9</v>
      </c>
      <c r="E219">
        <v>0</v>
      </c>
      <c r="H219">
        <f t="shared" si="3"/>
        <v>0</v>
      </c>
      <c r="J219">
        <v>0</v>
      </c>
    </row>
    <row r="220" spans="1:10" x14ac:dyDescent="0.3">
      <c r="A220">
        <v>94211</v>
      </c>
      <c r="B220">
        <v>27.4</v>
      </c>
      <c r="C220">
        <v>28.3</v>
      </c>
      <c r="D220">
        <v>15</v>
      </c>
      <c r="E220">
        <v>0</v>
      </c>
      <c r="H220">
        <f t="shared" si="3"/>
        <v>0</v>
      </c>
      <c r="J220">
        <v>0</v>
      </c>
    </row>
    <row r="221" spans="1:10" x14ac:dyDescent="0.3">
      <c r="A221">
        <v>94212</v>
      </c>
      <c r="B221">
        <v>25.3</v>
      </c>
      <c r="C221">
        <v>31.7</v>
      </c>
      <c r="D221">
        <v>17.8</v>
      </c>
      <c r="E221">
        <v>22.1</v>
      </c>
      <c r="H221">
        <f t="shared" si="3"/>
        <v>44.2</v>
      </c>
      <c r="J221">
        <v>22.1</v>
      </c>
    </row>
    <row r="222" spans="1:10" x14ac:dyDescent="0.3">
      <c r="A222">
        <v>94213</v>
      </c>
      <c r="B222">
        <v>22</v>
      </c>
      <c r="C222">
        <v>29.4</v>
      </c>
      <c r="D222">
        <v>18.3</v>
      </c>
      <c r="E222">
        <v>2.8</v>
      </c>
      <c r="H222">
        <f t="shared" si="3"/>
        <v>5.6</v>
      </c>
      <c r="J222">
        <v>2.8</v>
      </c>
    </row>
    <row r="223" spans="1:10" x14ac:dyDescent="0.3">
      <c r="A223">
        <v>94214</v>
      </c>
      <c r="B223">
        <v>24.2</v>
      </c>
      <c r="C223">
        <v>30</v>
      </c>
      <c r="D223">
        <v>20</v>
      </c>
      <c r="E223">
        <v>0</v>
      </c>
      <c r="H223">
        <f t="shared" si="3"/>
        <v>0</v>
      </c>
      <c r="J223">
        <v>0</v>
      </c>
    </row>
    <row r="224" spans="1:10" x14ac:dyDescent="0.3">
      <c r="A224">
        <v>94215</v>
      </c>
      <c r="B224">
        <v>16.600000000000001</v>
      </c>
      <c r="C224">
        <v>28.3</v>
      </c>
      <c r="D224">
        <v>20</v>
      </c>
      <c r="E224">
        <v>8.1</v>
      </c>
      <c r="H224">
        <f t="shared" si="3"/>
        <v>16.2</v>
      </c>
      <c r="J224">
        <v>8.1</v>
      </c>
    </row>
    <row r="225" spans="1:10" x14ac:dyDescent="0.3">
      <c r="A225">
        <v>94216</v>
      </c>
      <c r="B225">
        <v>17.600000000000001</v>
      </c>
      <c r="C225">
        <v>26.7</v>
      </c>
      <c r="D225">
        <v>15.6</v>
      </c>
      <c r="E225">
        <v>0</v>
      </c>
      <c r="H225">
        <f t="shared" si="3"/>
        <v>0</v>
      </c>
      <c r="J225">
        <v>0</v>
      </c>
    </row>
    <row r="226" spans="1:10" x14ac:dyDescent="0.3">
      <c r="A226">
        <v>94217</v>
      </c>
      <c r="B226">
        <v>27.3</v>
      </c>
      <c r="C226">
        <v>22.2</v>
      </c>
      <c r="D226">
        <v>10.6</v>
      </c>
      <c r="E226">
        <v>0</v>
      </c>
      <c r="H226">
        <f t="shared" si="3"/>
        <v>0</v>
      </c>
      <c r="J226">
        <v>0</v>
      </c>
    </row>
    <row r="227" spans="1:10" x14ac:dyDescent="0.3">
      <c r="A227">
        <v>94218</v>
      </c>
      <c r="B227">
        <v>25.9</v>
      </c>
      <c r="C227">
        <v>25</v>
      </c>
      <c r="D227">
        <v>12.8</v>
      </c>
      <c r="E227">
        <v>0</v>
      </c>
      <c r="H227">
        <f t="shared" si="3"/>
        <v>0</v>
      </c>
      <c r="J227">
        <v>0</v>
      </c>
    </row>
    <row r="228" spans="1:10" x14ac:dyDescent="0.3">
      <c r="A228">
        <v>94219</v>
      </c>
      <c r="B228">
        <v>14.8</v>
      </c>
      <c r="C228">
        <v>27.8</v>
      </c>
      <c r="D228">
        <v>16.100000000000001</v>
      </c>
      <c r="E228">
        <v>0</v>
      </c>
      <c r="H228">
        <f t="shared" si="3"/>
        <v>0</v>
      </c>
      <c r="J228">
        <v>0</v>
      </c>
    </row>
    <row r="229" spans="1:10" x14ac:dyDescent="0.3">
      <c r="A229">
        <v>94220</v>
      </c>
      <c r="B229">
        <v>21.6</v>
      </c>
      <c r="C229">
        <v>27.2</v>
      </c>
      <c r="D229">
        <v>17.8</v>
      </c>
      <c r="E229">
        <v>0</v>
      </c>
      <c r="H229">
        <f t="shared" si="3"/>
        <v>0</v>
      </c>
      <c r="J229">
        <v>0</v>
      </c>
    </row>
    <row r="230" spans="1:10" x14ac:dyDescent="0.3">
      <c r="A230">
        <v>94221</v>
      </c>
      <c r="B230">
        <v>12.4</v>
      </c>
      <c r="C230">
        <v>26.1</v>
      </c>
      <c r="D230">
        <v>14.4</v>
      </c>
      <c r="E230">
        <v>0</v>
      </c>
      <c r="H230">
        <f t="shared" si="3"/>
        <v>0</v>
      </c>
      <c r="J230">
        <v>0</v>
      </c>
    </row>
    <row r="231" spans="1:10" x14ac:dyDescent="0.3">
      <c r="A231">
        <v>94222</v>
      </c>
      <c r="B231">
        <v>16.7</v>
      </c>
      <c r="C231">
        <v>30.6</v>
      </c>
      <c r="D231">
        <v>17.2</v>
      </c>
      <c r="E231">
        <v>5.3</v>
      </c>
      <c r="H231">
        <f t="shared" si="3"/>
        <v>10.6</v>
      </c>
      <c r="J231">
        <v>5.3</v>
      </c>
    </row>
    <row r="232" spans="1:10" x14ac:dyDescent="0.3">
      <c r="A232">
        <v>94223</v>
      </c>
      <c r="B232">
        <v>9.1</v>
      </c>
      <c r="C232">
        <v>20</v>
      </c>
      <c r="D232">
        <v>15.6</v>
      </c>
      <c r="E232">
        <v>0</v>
      </c>
      <c r="H232">
        <f t="shared" si="3"/>
        <v>0</v>
      </c>
      <c r="J232">
        <v>0</v>
      </c>
    </row>
    <row r="233" spans="1:10" x14ac:dyDescent="0.3">
      <c r="A233">
        <v>94224</v>
      </c>
      <c r="B233">
        <v>10.4</v>
      </c>
      <c r="C233">
        <v>23.9</v>
      </c>
      <c r="D233">
        <v>17.8</v>
      </c>
      <c r="E233">
        <v>10.199999999999999</v>
      </c>
      <c r="H233">
        <f t="shared" si="3"/>
        <v>20.399999999999999</v>
      </c>
      <c r="J233">
        <v>10.199999999999999</v>
      </c>
    </row>
    <row r="234" spans="1:10" x14ac:dyDescent="0.3">
      <c r="A234">
        <v>94225</v>
      </c>
      <c r="B234">
        <v>14.5</v>
      </c>
      <c r="C234">
        <v>27.2</v>
      </c>
      <c r="D234">
        <v>15.6</v>
      </c>
      <c r="E234">
        <v>0</v>
      </c>
      <c r="H234">
        <f t="shared" si="3"/>
        <v>0</v>
      </c>
      <c r="J234">
        <v>0</v>
      </c>
    </row>
    <row r="235" spans="1:10" x14ac:dyDescent="0.3">
      <c r="A235">
        <v>94226</v>
      </c>
      <c r="B235">
        <v>26.2</v>
      </c>
      <c r="C235">
        <v>22.2</v>
      </c>
      <c r="D235">
        <v>10.6</v>
      </c>
      <c r="E235">
        <v>0</v>
      </c>
      <c r="H235">
        <f t="shared" si="3"/>
        <v>0</v>
      </c>
      <c r="J235">
        <v>0</v>
      </c>
    </row>
    <row r="236" spans="1:10" x14ac:dyDescent="0.3">
      <c r="A236">
        <v>94227</v>
      </c>
      <c r="B236">
        <v>26.1</v>
      </c>
      <c r="C236">
        <v>25</v>
      </c>
      <c r="D236">
        <v>10.6</v>
      </c>
      <c r="E236">
        <v>0</v>
      </c>
      <c r="H236">
        <f t="shared" si="3"/>
        <v>0</v>
      </c>
      <c r="J236">
        <v>0</v>
      </c>
    </row>
    <row r="237" spans="1:10" x14ac:dyDescent="0.3">
      <c r="A237">
        <v>94228</v>
      </c>
      <c r="B237">
        <v>25.4</v>
      </c>
      <c r="C237">
        <v>28.9</v>
      </c>
      <c r="D237">
        <v>13.3</v>
      </c>
      <c r="E237">
        <v>0</v>
      </c>
      <c r="H237">
        <f t="shared" si="3"/>
        <v>0</v>
      </c>
      <c r="J237">
        <v>0</v>
      </c>
    </row>
    <row r="238" spans="1:10" x14ac:dyDescent="0.3">
      <c r="A238">
        <v>94229</v>
      </c>
      <c r="B238">
        <v>19.100000000000001</v>
      </c>
      <c r="C238">
        <v>31.7</v>
      </c>
      <c r="D238">
        <v>18.899999999999999</v>
      </c>
      <c r="E238">
        <v>0</v>
      </c>
      <c r="H238">
        <f t="shared" si="3"/>
        <v>0</v>
      </c>
      <c r="J238">
        <v>0</v>
      </c>
    </row>
    <row r="239" spans="1:10" x14ac:dyDescent="0.3">
      <c r="A239">
        <v>94230</v>
      </c>
      <c r="B239">
        <v>25</v>
      </c>
      <c r="C239">
        <v>32.799999999999997</v>
      </c>
      <c r="D239">
        <v>20</v>
      </c>
      <c r="E239">
        <v>0</v>
      </c>
      <c r="H239">
        <f t="shared" si="3"/>
        <v>0</v>
      </c>
      <c r="J239">
        <v>0</v>
      </c>
    </row>
    <row r="240" spans="1:10" x14ac:dyDescent="0.3">
      <c r="A240">
        <v>94231</v>
      </c>
      <c r="B240">
        <v>21.6</v>
      </c>
      <c r="C240">
        <v>31.7</v>
      </c>
      <c r="D240">
        <v>17.2</v>
      </c>
      <c r="E240">
        <v>0</v>
      </c>
      <c r="H240">
        <f t="shared" si="3"/>
        <v>0</v>
      </c>
      <c r="J240">
        <v>0</v>
      </c>
    </row>
    <row r="241" spans="1:10" x14ac:dyDescent="0.3">
      <c r="A241">
        <v>94232</v>
      </c>
      <c r="B241">
        <v>21.2</v>
      </c>
      <c r="C241">
        <v>25</v>
      </c>
      <c r="D241">
        <v>15.6</v>
      </c>
      <c r="E241">
        <v>0</v>
      </c>
      <c r="H241">
        <f t="shared" si="3"/>
        <v>0</v>
      </c>
      <c r="J241">
        <v>0</v>
      </c>
    </row>
    <row r="242" spans="1:10" x14ac:dyDescent="0.3">
      <c r="A242">
        <v>94233</v>
      </c>
      <c r="B242">
        <v>21.5</v>
      </c>
      <c r="C242">
        <v>26.1</v>
      </c>
      <c r="D242">
        <v>12.8</v>
      </c>
      <c r="E242">
        <v>0</v>
      </c>
      <c r="H242">
        <f t="shared" si="3"/>
        <v>0</v>
      </c>
      <c r="J242">
        <v>0</v>
      </c>
    </row>
    <row r="243" spans="1:10" x14ac:dyDescent="0.3">
      <c r="A243">
        <v>94234</v>
      </c>
      <c r="B243">
        <v>23.5</v>
      </c>
      <c r="C243">
        <v>27.8</v>
      </c>
      <c r="D243">
        <v>13.3</v>
      </c>
      <c r="E243">
        <v>0</v>
      </c>
      <c r="H243">
        <f t="shared" si="3"/>
        <v>0</v>
      </c>
      <c r="J243">
        <v>0</v>
      </c>
    </row>
    <row r="244" spans="1:10" x14ac:dyDescent="0.3">
      <c r="A244">
        <v>94235</v>
      </c>
      <c r="B244">
        <v>21.1</v>
      </c>
      <c r="C244">
        <v>31.7</v>
      </c>
      <c r="D244">
        <v>15.6</v>
      </c>
      <c r="E244">
        <v>0</v>
      </c>
      <c r="H244">
        <f t="shared" si="3"/>
        <v>0</v>
      </c>
      <c r="J244">
        <v>0</v>
      </c>
    </row>
    <row r="245" spans="1:10" x14ac:dyDescent="0.3">
      <c r="A245">
        <v>94236</v>
      </c>
      <c r="B245">
        <v>24.4</v>
      </c>
      <c r="C245">
        <v>34.4</v>
      </c>
      <c r="D245">
        <v>17.2</v>
      </c>
      <c r="E245">
        <v>0</v>
      </c>
      <c r="H245">
        <f t="shared" si="3"/>
        <v>0</v>
      </c>
      <c r="J245">
        <v>0</v>
      </c>
    </row>
    <row r="246" spans="1:10" x14ac:dyDescent="0.3">
      <c r="A246">
        <v>94237</v>
      </c>
      <c r="B246">
        <v>19.8</v>
      </c>
      <c r="C246">
        <v>33.9</v>
      </c>
      <c r="D246">
        <v>19.399999999999999</v>
      </c>
      <c r="E246">
        <v>19.600000000000001</v>
      </c>
      <c r="H246">
        <f t="shared" si="3"/>
        <v>39.200000000000003</v>
      </c>
      <c r="J246">
        <v>19.600000000000001</v>
      </c>
    </row>
    <row r="247" spans="1:10" x14ac:dyDescent="0.3">
      <c r="A247">
        <v>94238</v>
      </c>
      <c r="B247">
        <v>23.8</v>
      </c>
      <c r="C247">
        <v>30.6</v>
      </c>
      <c r="D247">
        <v>18.3</v>
      </c>
      <c r="E247">
        <v>0.3</v>
      </c>
      <c r="H247">
        <f t="shared" si="3"/>
        <v>0.6</v>
      </c>
      <c r="J247">
        <v>0.3</v>
      </c>
    </row>
    <row r="248" spans="1:10" x14ac:dyDescent="0.3">
      <c r="A248">
        <v>94239</v>
      </c>
      <c r="B248">
        <v>21.2</v>
      </c>
      <c r="C248">
        <v>33.9</v>
      </c>
      <c r="D248">
        <v>20</v>
      </c>
      <c r="E248">
        <v>0</v>
      </c>
      <c r="H248">
        <f t="shared" si="3"/>
        <v>0</v>
      </c>
      <c r="J248">
        <v>0</v>
      </c>
    </row>
    <row r="249" spans="1:10" x14ac:dyDescent="0.3">
      <c r="A249">
        <v>94240</v>
      </c>
      <c r="B249">
        <v>15.9</v>
      </c>
      <c r="C249">
        <v>27.2</v>
      </c>
      <c r="D249">
        <v>14.4</v>
      </c>
      <c r="E249">
        <v>1.8</v>
      </c>
      <c r="H249">
        <f t="shared" si="3"/>
        <v>3.6</v>
      </c>
      <c r="J249">
        <v>1.8</v>
      </c>
    </row>
    <row r="250" spans="1:10" x14ac:dyDescent="0.3">
      <c r="A250">
        <v>94241</v>
      </c>
      <c r="B250">
        <v>23.3</v>
      </c>
      <c r="C250">
        <v>26.7</v>
      </c>
      <c r="D250">
        <v>11.1</v>
      </c>
      <c r="E250">
        <v>0</v>
      </c>
      <c r="H250">
        <f t="shared" si="3"/>
        <v>0</v>
      </c>
      <c r="J250">
        <v>0</v>
      </c>
    </row>
    <row r="251" spans="1:10" x14ac:dyDescent="0.3">
      <c r="A251">
        <v>94242</v>
      </c>
      <c r="B251">
        <v>19.8</v>
      </c>
      <c r="C251">
        <v>27.8</v>
      </c>
      <c r="D251">
        <v>17.2</v>
      </c>
      <c r="E251">
        <v>23.4</v>
      </c>
      <c r="H251">
        <f t="shared" si="3"/>
        <v>46.8</v>
      </c>
      <c r="J251">
        <v>23.4</v>
      </c>
    </row>
    <row r="252" spans="1:10" x14ac:dyDescent="0.3">
      <c r="A252">
        <v>94243</v>
      </c>
      <c r="B252">
        <v>15.7</v>
      </c>
      <c r="C252">
        <v>20</v>
      </c>
      <c r="D252">
        <v>12.8</v>
      </c>
      <c r="E252">
        <v>0</v>
      </c>
      <c r="H252">
        <f t="shared" si="3"/>
        <v>0</v>
      </c>
      <c r="J252">
        <v>0</v>
      </c>
    </row>
    <row r="253" spans="1:10" x14ac:dyDescent="0.3">
      <c r="A253">
        <v>94244</v>
      </c>
      <c r="B253">
        <v>18.7</v>
      </c>
      <c r="C253">
        <v>23.3</v>
      </c>
      <c r="D253">
        <v>11.7</v>
      </c>
      <c r="E253">
        <v>0.3</v>
      </c>
      <c r="H253">
        <f t="shared" si="3"/>
        <v>0.6</v>
      </c>
      <c r="J253">
        <v>0.3</v>
      </c>
    </row>
    <row r="254" spans="1:10" x14ac:dyDescent="0.3">
      <c r="A254">
        <v>94245</v>
      </c>
      <c r="B254">
        <v>17</v>
      </c>
      <c r="C254">
        <v>22.8</v>
      </c>
      <c r="D254">
        <v>12.2</v>
      </c>
      <c r="E254">
        <v>0</v>
      </c>
      <c r="H254">
        <f t="shared" si="3"/>
        <v>0</v>
      </c>
      <c r="J254">
        <v>0</v>
      </c>
    </row>
    <row r="255" spans="1:10" x14ac:dyDescent="0.3">
      <c r="A255">
        <v>94246</v>
      </c>
      <c r="B255">
        <v>13</v>
      </c>
      <c r="C255">
        <v>23.9</v>
      </c>
      <c r="D255">
        <v>15.6</v>
      </c>
      <c r="E255">
        <v>0</v>
      </c>
      <c r="H255">
        <f t="shared" si="3"/>
        <v>0</v>
      </c>
      <c r="J255">
        <v>0</v>
      </c>
    </row>
    <row r="256" spans="1:10" x14ac:dyDescent="0.3">
      <c r="A256">
        <v>94247</v>
      </c>
      <c r="B256">
        <v>7.7</v>
      </c>
      <c r="C256">
        <v>21.1</v>
      </c>
      <c r="D256">
        <v>15</v>
      </c>
      <c r="E256">
        <v>50.3</v>
      </c>
      <c r="H256">
        <f t="shared" si="3"/>
        <v>100.6</v>
      </c>
      <c r="J256">
        <v>50.3</v>
      </c>
    </row>
    <row r="257" spans="1:10" x14ac:dyDescent="0.3">
      <c r="A257">
        <v>94248</v>
      </c>
      <c r="B257">
        <v>13.8</v>
      </c>
      <c r="C257">
        <v>27.8</v>
      </c>
      <c r="D257">
        <v>15.6</v>
      </c>
      <c r="E257">
        <v>0</v>
      </c>
      <c r="H257">
        <f t="shared" si="3"/>
        <v>0</v>
      </c>
      <c r="J257">
        <v>0</v>
      </c>
    </row>
    <row r="258" spans="1:10" x14ac:dyDescent="0.3">
      <c r="A258">
        <v>94249</v>
      </c>
      <c r="B258">
        <v>21.9</v>
      </c>
      <c r="C258">
        <v>26.1</v>
      </c>
      <c r="D258">
        <v>13.3</v>
      </c>
      <c r="E258">
        <v>0</v>
      </c>
      <c r="H258">
        <f t="shared" si="3"/>
        <v>0</v>
      </c>
      <c r="J258">
        <v>0</v>
      </c>
    </row>
    <row r="259" spans="1:10" x14ac:dyDescent="0.3">
      <c r="A259">
        <v>94250</v>
      </c>
      <c r="B259">
        <v>21.6</v>
      </c>
      <c r="C259">
        <v>26.7</v>
      </c>
      <c r="D259">
        <v>12.2</v>
      </c>
      <c r="E259">
        <v>0</v>
      </c>
      <c r="H259">
        <f t="shared" si="3"/>
        <v>0</v>
      </c>
      <c r="J259">
        <v>0</v>
      </c>
    </row>
    <row r="260" spans="1:10" x14ac:dyDescent="0.3">
      <c r="A260">
        <v>94251</v>
      </c>
      <c r="B260">
        <v>16.600000000000001</v>
      </c>
      <c r="C260">
        <v>28.3</v>
      </c>
      <c r="D260">
        <v>14.4</v>
      </c>
      <c r="E260">
        <v>1</v>
      </c>
      <c r="H260">
        <f t="shared" si="3"/>
        <v>2</v>
      </c>
      <c r="J260">
        <v>1</v>
      </c>
    </row>
    <row r="261" spans="1:10" x14ac:dyDescent="0.3">
      <c r="A261">
        <v>94252</v>
      </c>
      <c r="B261">
        <v>20.7</v>
      </c>
      <c r="C261">
        <v>30.6</v>
      </c>
      <c r="D261">
        <v>15</v>
      </c>
      <c r="E261">
        <v>0</v>
      </c>
      <c r="H261">
        <f t="shared" si="3"/>
        <v>0</v>
      </c>
      <c r="J261">
        <v>0</v>
      </c>
    </row>
    <row r="262" spans="1:10" x14ac:dyDescent="0.3">
      <c r="A262">
        <v>94253</v>
      </c>
      <c r="B262">
        <v>19.8</v>
      </c>
      <c r="C262">
        <v>28.9</v>
      </c>
      <c r="D262">
        <v>16.100000000000001</v>
      </c>
      <c r="E262">
        <v>0</v>
      </c>
      <c r="H262">
        <f t="shared" si="3"/>
        <v>0</v>
      </c>
      <c r="J262">
        <v>0</v>
      </c>
    </row>
    <row r="263" spans="1:10" x14ac:dyDescent="0.3">
      <c r="A263">
        <v>94254</v>
      </c>
      <c r="B263">
        <v>20.9</v>
      </c>
      <c r="C263">
        <v>28.3</v>
      </c>
      <c r="D263">
        <v>16.100000000000001</v>
      </c>
      <c r="E263">
        <v>0</v>
      </c>
      <c r="H263">
        <f t="shared" si="3"/>
        <v>0</v>
      </c>
      <c r="J263">
        <v>0</v>
      </c>
    </row>
    <row r="264" spans="1:10" x14ac:dyDescent="0.3">
      <c r="A264">
        <v>94255</v>
      </c>
      <c r="B264">
        <v>20</v>
      </c>
      <c r="C264">
        <v>30</v>
      </c>
      <c r="D264">
        <v>17.2</v>
      </c>
      <c r="E264">
        <v>0</v>
      </c>
      <c r="H264">
        <f t="shared" si="3"/>
        <v>0</v>
      </c>
      <c r="J264">
        <v>0</v>
      </c>
    </row>
    <row r="265" spans="1:10" x14ac:dyDescent="0.3">
      <c r="A265">
        <v>94256</v>
      </c>
      <c r="B265">
        <v>20.2</v>
      </c>
      <c r="C265">
        <v>31.7</v>
      </c>
      <c r="D265">
        <v>19.399999999999999</v>
      </c>
      <c r="E265">
        <v>0</v>
      </c>
      <c r="H265">
        <f t="shared" si="3"/>
        <v>0</v>
      </c>
      <c r="J265">
        <v>0</v>
      </c>
    </row>
    <row r="266" spans="1:10" x14ac:dyDescent="0.3">
      <c r="A266">
        <v>94257</v>
      </c>
      <c r="B266">
        <v>19.899999999999999</v>
      </c>
      <c r="C266">
        <v>32.799999999999997</v>
      </c>
      <c r="D266">
        <v>22.2</v>
      </c>
      <c r="E266">
        <v>0</v>
      </c>
      <c r="H266">
        <f t="shared" si="3"/>
        <v>0</v>
      </c>
      <c r="J266">
        <v>0</v>
      </c>
    </row>
    <row r="267" spans="1:10" x14ac:dyDescent="0.3">
      <c r="A267">
        <v>94258</v>
      </c>
      <c r="B267">
        <v>16.2</v>
      </c>
      <c r="C267">
        <v>28.9</v>
      </c>
      <c r="D267">
        <v>19.399999999999999</v>
      </c>
      <c r="E267">
        <v>0</v>
      </c>
      <c r="H267">
        <f t="shared" ref="H267:H330" si="4">E267*2</f>
        <v>0</v>
      </c>
      <c r="J267">
        <v>0</v>
      </c>
    </row>
    <row r="268" spans="1:10" x14ac:dyDescent="0.3">
      <c r="A268">
        <v>94259</v>
      </c>
      <c r="B268">
        <v>16.399999999999999</v>
      </c>
      <c r="C268">
        <v>25.6</v>
      </c>
      <c r="D268">
        <v>13.9</v>
      </c>
      <c r="E268">
        <v>0</v>
      </c>
      <c r="H268">
        <f t="shared" si="4"/>
        <v>0</v>
      </c>
      <c r="J268">
        <v>0</v>
      </c>
    </row>
    <row r="269" spans="1:10" x14ac:dyDescent="0.3">
      <c r="A269">
        <v>94260</v>
      </c>
      <c r="B269">
        <v>20.5</v>
      </c>
      <c r="C269">
        <v>25</v>
      </c>
      <c r="D269">
        <v>11.7</v>
      </c>
      <c r="E269">
        <v>0</v>
      </c>
      <c r="H269">
        <f t="shared" si="4"/>
        <v>0</v>
      </c>
      <c r="J269">
        <v>0</v>
      </c>
    </row>
    <row r="270" spans="1:10" x14ac:dyDescent="0.3">
      <c r="A270">
        <v>94261</v>
      </c>
      <c r="B270">
        <v>20.3</v>
      </c>
      <c r="C270">
        <v>27.8</v>
      </c>
      <c r="D270">
        <v>10.6</v>
      </c>
      <c r="E270">
        <v>0</v>
      </c>
      <c r="H270">
        <f t="shared" si="4"/>
        <v>0</v>
      </c>
      <c r="J270">
        <v>0</v>
      </c>
    </row>
    <row r="271" spans="1:10" x14ac:dyDescent="0.3">
      <c r="A271">
        <v>94262</v>
      </c>
      <c r="B271">
        <v>20</v>
      </c>
      <c r="C271">
        <v>28.3</v>
      </c>
      <c r="D271">
        <v>12.2</v>
      </c>
      <c r="E271">
        <v>0</v>
      </c>
      <c r="H271">
        <f t="shared" si="4"/>
        <v>0</v>
      </c>
      <c r="J271">
        <v>0</v>
      </c>
    </row>
    <row r="272" spans="1:10" x14ac:dyDescent="0.3">
      <c r="A272">
        <v>94263</v>
      </c>
      <c r="B272">
        <v>18.100000000000001</v>
      </c>
      <c r="C272">
        <v>28.9</v>
      </c>
      <c r="D272">
        <v>13.9</v>
      </c>
      <c r="E272">
        <v>0</v>
      </c>
      <c r="H272">
        <f t="shared" si="4"/>
        <v>0</v>
      </c>
      <c r="J272">
        <v>0</v>
      </c>
    </row>
    <row r="273" spans="1:10" x14ac:dyDescent="0.3">
      <c r="A273">
        <v>94264</v>
      </c>
      <c r="B273">
        <v>16.5</v>
      </c>
      <c r="C273">
        <v>30</v>
      </c>
      <c r="D273">
        <v>15</v>
      </c>
      <c r="E273">
        <v>1</v>
      </c>
      <c r="H273">
        <f t="shared" si="4"/>
        <v>2</v>
      </c>
      <c r="J273">
        <v>1</v>
      </c>
    </row>
    <row r="274" spans="1:10" x14ac:dyDescent="0.3">
      <c r="A274">
        <v>94265</v>
      </c>
      <c r="B274">
        <v>6.3</v>
      </c>
      <c r="C274">
        <v>15</v>
      </c>
      <c r="D274">
        <v>7.8</v>
      </c>
      <c r="E274">
        <v>4.0999999999999996</v>
      </c>
      <c r="H274">
        <f t="shared" si="4"/>
        <v>8.1999999999999993</v>
      </c>
      <c r="J274">
        <v>4.0999999999999996</v>
      </c>
    </row>
    <row r="275" spans="1:10" x14ac:dyDescent="0.3">
      <c r="A275">
        <v>94266</v>
      </c>
      <c r="B275">
        <v>15.9</v>
      </c>
      <c r="C275">
        <v>16.100000000000001</v>
      </c>
      <c r="D275">
        <v>6.7</v>
      </c>
      <c r="E275">
        <v>0</v>
      </c>
      <c r="H275">
        <f t="shared" si="4"/>
        <v>0</v>
      </c>
      <c r="J275">
        <v>0</v>
      </c>
    </row>
    <row r="276" spans="1:10" x14ac:dyDescent="0.3">
      <c r="A276">
        <v>94267</v>
      </c>
      <c r="B276">
        <v>8.4</v>
      </c>
      <c r="C276">
        <v>15.6</v>
      </c>
      <c r="D276">
        <v>7.8</v>
      </c>
      <c r="E276">
        <v>10.9</v>
      </c>
      <c r="H276">
        <f t="shared" si="4"/>
        <v>21.8</v>
      </c>
      <c r="J276">
        <v>10.9</v>
      </c>
    </row>
    <row r="277" spans="1:10" x14ac:dyDescent="0.3">
      <c r="A277">
        <v>94268</v>
      </c>
      <c r="B277">
        <v>8.6</v>
      </c>
      <c r="C277">
        <v>21.1</v>
      </c>
      <c r="D277">
        <v>13.3</v>
      </c>
      <c r="E277">
        <v>11.4</v>
      </c>
      <c r="H277">
        <f t="shared" si="4"/>
        <v>22.8</v>
      </c>
      <c r="J277">
        <v>11.4</v>
      </c>
    </row>
    <row r="278" spans="1:10" x14ac:dyDescent="0.3">
      <c r="A278">
        <v>94269</v>
      </c>
      <c r="B278">
        <v>6.6</v>
      </c>
      <c r="C278">
        <v>13.3</v>
      </c>
      <c r="D278">
        <v>6.1</v>
      </c>
      <c r="E278">
        <v>0</v>
      </c>
      <c r="H278">
        <f t="shared" si="4"/>
        <v>0</v>
      </c>
      <c r="J278">
        <v>0</v>
      </c>
    </row>
    <row r="279" spans="1:10" x14ac:dyDescent="0.3">
      <c r="A279">
        <v>94270</v>
      </c>
      <c r="B279">
        <v>17</v>
      </c>
      <c r="C279">
        <v>20.6</v>
      </c>
      <c r="D279">
        <v>3.3</v>
      </c>
      <c r="E279">
        <v>0</v>
      </c>
      <c r="H279">
        <f t="shared" si="4"/>
        <v>0</v>
      </c>
      <c r="J279">
        <v>0</v>
      </c>
    </row>
    <row r="280" spans="1:10" x14ac:dyDescent="0.3">
      <c r="A280">
        <v>94271</v>
      </c>
      <c r="B280">
        <v>18.7</v>
      </c>
      <c r="C280">
        <v>22.2</v>
      </c>
      <c r="D280">
        <v>8.3000000000000007</v>
      </c>
      <c r="E280">
        <v>0</v>
      </c>
      <c r="H280">
        <f t="shared" si="4"/>
        <v>0</v>
      </c>
      <c r="J280">
        <v>0</v>
      </c>
    </row>
    <row r="281" spans="1:10" x14ac:dyDescent="0.3">
      <c r="A281">
        <v>94272</v>
      </c>
      <c r="B281">
        <v>18.100000000000001</v>
      </c>
      <c r="C281">
        <v>25.6</v>
      </c>
      <c r="D281">
        <v>7.2</v>
      </c>
      <c r="E281">
        <v>0</v>
      </c>
      <c r="H281">
        <f t="shared" si="4"/>
        <v>0</v>
      </c>
      <c r="J281">
        <v>0</v>
      </c>
    </row>
    <row r="282" spans="1:10" x14ac:dyDescent="0.3">
      <c r="A282">
        <v>94273</v>
      </c>
      <c r="B282">
        <v>15.3</v>
      </c>
      <c r="C282">
        <v>32.200000000000003</v>
      </c>
      <c r="D282">
        <v>13.3</v>
      </c>
      <c r="E282">
        <v>0</v>
      </c>
      <c r="H282">
        <f t="shared" si="4"/>
        <v>0</v>
      </c>
      <c r="J282">
        <v>0</v>
      </c>
    </row>
    <row r="283" spans="1:10" x14ac:dyDescent="0.3">
      <c r="A283">
        <v>94274</v>
      </c>
      <c r="B283">
        <v>6.1</v>
      </c>
      <c r="C283">
        <v>22.8</v>
      </c>
      <c r="D283">
        <v>13.9</v>
      </c>
      <c r="E283">
        <v>0</v>
      </c>
      <c r="H283">
        <f t="shared" si="4"/>
        <v>0</v>
      </c>
      <c r="J283">
        <v>0</v>
      </c>
    </row>
    <row r="284" spans="1:10" x14ac:dyDescent="0.3">
      <c r="A284">
        <v>94275</v>
      </c>
      <c r="B284">
        <v>12.7</v>
      </c>
      <c r="C284">
        <v>21.7</v>
      </c>
      <c r="D284">
        <v>11.7</v>
      </c>
      <c r="E284">
        <v>1.3</v>
      </c>
      <c r="H284">
        <f t="shared" si="4"/>
        <v>2.6</v>
      </c>
      <c r="J284">
        <v>1.3</v>
      </c>
    </row>
    <row r="285" spans="1:10" x14ac:dyDescent="0.3">
      <c r="A285">
        <v>94276</v>
      </c>
      <c r="B285">
        <v>14.2</v>
      </c>
      <c r="C285">
        <v>18.3</v>
      </c>
      <c r="D285">
        <v>10.6</v>
      </c>
      <c r="E285">
        <v>2.2999999999999998</v>
      </c>
      <c r="H285">
        <f t="shared" si="4"/>
        <v>4.5999999999999996</v>
      </c>
      <c r="J285">
        <v>2.2999999999999998</v>
      </c>
    </row>
    <row r="286" spans="1:10" x14ac:dyDescent="0.3">
      <c r="A286">
        <v>94277</v>
      </c>
      <c r="B286">
        <v>10.1</v>
      </c>
      <c r="C286">
        <v>20</v>
      </c>
      <c r="D286">
        <v>10.6</v>
      </c>
      <c r="E286">
        <v>0</v>
      </c>
      <c r="H286">
        <f t="shared" si="4"/>
        <v>0</v>
      </c>
      <c r="J286">
        <v>0</v>
      </c>
    </row>
    <row r="287" spans="1:10" x14ac:dyDescent="0.3">
      <c r="A287">
        <v>94278</v>
      </c>
      <c r="B287">
        <v>12.2</v>
      </c>
      <c r="C287">
        <v>22.2</v>
      </c>
      <c r="D287">
        <v>10.6</v>
      </c>
      <c r="E287">
        <v>0</v>
      </c>
      <c r="H287">
        <f t="shared" si="4"/>
        <v>0</v>
      </c>
      <c r="J287">
        <v>0</v>
      </c>
    </row>
    <row r="288" spans="1:10" x14ac:dyDescent="0.3">
      <c r="A288">
        <v>94279</v>
      </c>
      <c r="B288">
        <v>8.6999999999999993</v>
      </c>
      <c r="C288">
        <v>26.7</v>
      </c>
      <c r="D288">
        <v>13.3</v>
      </c>
      <c r="E288">
        <v>5.8</v>
      </c>
      <c r="H288">
        <f t="shared" si="4"/>
        <v>11.6</v>
      </c>
      <c r="J288">
        <v>5.8</v>
      </c>
    </row>
    <row r="289" spans="1:10" x14ac:dyDescent="0.3">
      <c r="A289">
        <v>94280</v>
      </c>
      <c r="B289">
        <v>12.4</v>
      </c>
      <c r="C289">
        <v>18.3</v>
      </c>
      <c r="D289">
        <v>12.2</v>
      </c>
      <c r="E289">
        <v>0</v>
      </c>
      <c r="H289">
        <f t="shared" si="4"/>
        <v>0</v>
      </c>
      <c r="J289">
        <v>0</v>
      </c>
    </row>
    <row r="290" spans="1:10" x14ac:dyDescent="0.3">
      <c r="A290">
        <v>94281</v>
      </c>
      <c r="B290">
        <v>13.9</v>
      </c>
      <c r="C290">
        <v>16.7</v>
      </c>
      <c r="D290">
        <v>8.3000000000000007</v>
      </c>
      <c r="E290">
        <v>0</v>
      </c>
      <c r="H290">
        <f t="shared" si="4"/>
        <v>0</v>
      </c>
      <c r="J290">
        <v>0</v>
      </c>
    </row>
    <row r="291" spans="1:10" x14ac:dyDescent="0.3">
      <c r="A291">
        <v>94282</v>
      </c>
      <c r="B291">
        <v>16.600000000000001</v>
      </c>
      <c r="C291">
        <v>16.7</v>
      </c>
      <c r="D291">
        <v>4.4000000000000004</v>
      </c>
      <c r="E291">
        <v>0</v>
      </c>
      <c r="H291">
        <f t="shared" si="4"/>
        <v>0</v>
      </c>
      <c r="J291">
        <v>0</v>
      </c>
    </row>
    <row r="292" spans="1:10" x14ac:dyDescent="0.3">
      <c r="A292">
        <v>94283</v>
      </c>
      <c r="B292">
        <v>16.3</v>
      </c>
      <c r="C292">
        <v>18.3</v>
      </c>
      <c r="D292">
        <v>2.8</v>
      </c>
      <c r="E292">
        <v>0</v>
      </c>
      <c r="H292">
        <f t="shared" si="4"/>
        <v>0</v>
      </c>
      <c r="J292">
        <v>0</v>
      </c>
    </row>
    <row r="293" spans="1:10" x14ac:dyDescent="0.3">
      <c r="A293">
        <v>94284</v>
      </c>
      <c r="B293">
        <v>16.2</v>
      </c>
      <c r="C293">
        <v>18.3</v>
      </c>
      <c r="D293">
        <v>3.9</v>
      </c>
      <c r="E293">
        <v>0</v>
      </c>
      <c r="H293">
        <f t="shared" si="4"/>
        <v>0</v>
      </c>
      <c r="J293">
        <v>0</v>
      </c>
    </row>
    <row r="294" spans="1:10" x14ac:dyDescent="0.3">
      <c r="A294">
        <v>94285</v>
      </c>
      <c r="B294">
        <v>15.9</v>
      </c>
      <c r="C294">
        <v>21.1</v>
      </c>
      <c r="D294">
        <v>3.9</v>
      </c>
      <c r="E294">
        <v>0</v>
      </c>
      <c r="H294">
        <f t="shared" si="4"/>
        <v>0</v>
      </c>
      <c r="J294">
        <v>0</v>
      </c>
    </row>
    <row r="295" spans="1:10" x14ac:dyDescent="0.3">
      <c r="A295">
        <v>94286</v>
      </c>
      <c r="B295">
        <v>7.7</v>
      </c>
      <c r="C295">
        <v>20.6</v>
      </c>
      <c r="D295">
        <v>7.8</v>
      </c>
      <c r="E295">
        <v>0</v>
      </c>
      <c r="H295">
        <f t="shared" si="4"/>
        <v>0</v>
      </c>
      <c r="J295">
        <v>0</v>
      </c>
    </row>
    <row r="296" spans="1:10" x14ac:dyDescent="0.3">
      <c r="A296">
        <v>94287</v>
      </c>
      <c r="B296">
        <v>12</v>
      </c>
      <c r="C296">
        <v>19.399999999999999</v>
      </c>
      <c r="D296">
        <v>4.4000000000000004</v>
      </c>
      <c r="E296">
        <v>0</v>
      </c>
      <c r="H296">
        <f t="shared" si="4"/>
        <v>0</v>
      </c>
      <c r="J296">
        <v>0</v>
      </c>
    </row>
    <row r="297" spans="1:10" x14ac:dyDescent="0.3">
      <c r="A297">
        <v>94288</v>
      </c>
      <c r="B297">
        <v>4.5999999999999996</v>
      </c>
      <c r="C297">
        <v>16.7</v>
      </c>
      <c r="D297">
        <v>13.9</v>
      </c>
      <c r="E297">
        <v>2</v>
      </c>
      <c r="H297">
        <f t="shared" si="4"/>
        <v>4</v>
      </c>
      <c r="J297">
        <v>2</v>
      </c>
    </row>
    <row r="298" spans="1:10" x14ac:dyDescent="0.3">
      <c r="A298">
        <v>94289</v>
      </c>
      <c r="B298">
        <v>5</v>
      </c>
      <c r="C298">
        <v>18.899999999999999</v>
      </c>
      <c r="D298">
        <v>15.6</v>
      </c>
      <c r="E298">
        <v>4.8</v>
      </c>
      <c r="H298">
        <f t="shared" si="4"/>
        <v>9.6</v>
      </c>
      <c r="J298">
        <v>4.8</v>
      </c>
    </row>
    <row r="299" spans="1:10" x14ac:dyDescent="0.3">
      <c r="A299">
        <v>94290</v>
      </c>
      <c r="B299">
        <v>4.7</v>
      </c>
      <c r="C299">
        <v>20</v>
      </c>
      <c r="D299">
        <v>17.8</v>
      </c>
      <c r="E299">
        <v>9.1</v>
      </c>
      <c r="H299">
        <f t="shared" si="4"/>
        <v>18.2</v>
      </c>
      <c r="J299">
        <v>9.1</v>
      </c>
    </row>
    <row r="300" spans="1:10" x14ac:dyDescent="0.3">
      <c r="A300">
        <v>94291</v>
      </c>
      <c r="B300">
        <v>10.3</v>
      </c>
      <c r="C300">
        <v>21.7</v>
      </c>
      <c r="D300">
        <v>11.1</v>
      </c>
      <c r="E300">
        <v>0</v>
      </c>
      <c r="H300">
        <f t="shared" si="4"/>
        <v>0</v>
      </c>
      <c r="J300">
        <v>0</v>
      </c>
    </row>
    <row r="301" spans="1:10" x14ac:dyDescent="0.3">
      <c r="A301">
        <v>94292</v>
      </c>
      <c r="B301">
        <v>14.1</v>
      </c>
      <c r="C301">
        <v>19.399999999999999</v>
      </c>
      <c r="D301">
        <v>8.9</v>
      </c>
      <c r="E301">
        <v>0</v>
      </c>
      <c r="H301">
        <f t="shared" si="4"/>
        <v>0</v>
      </c>
      <c r="J301">
        <v>0</v>
      </c>
    </row>
    <row r="302" spans="1:10" x14ac:dyDescent="0.3">
      <c r="A302">
        <v>94293</v>
      </c>
      <c r="B302">
        <v>14.2</v>
      </c>
      <c r="C302">
        <v>22.8</v>
      </c>
      <c r="D302">
        <v>6.1</v>
      </c>
      <c r="E302">
        <v>0</v>
      </c>
      <c r="H302">
        <f t="shared" si="4"/>
        <v>0</v>
      </c>
      <c r="J302">
        <v>0</v>
      </c>
    </row>
    <row r="303" spans="1:10" x14ac:dyDescent="0.3">
      <c r="A303">
        <v>94294</v>
      </c>
      <c r="B303">
        <v>13</v>
      </c>
      <c r="C303">
        <v>23.9</v>
      </c>
      <c r="D303">
        <v>8.9</v>
      </c>
      <c r="E303">
        <v>0</v>
      </c>
      <c r="H303">
        <f t="shared" si="4"/>
        <v>0</v>
      </c>
      <c r="J303">
        <v>0</v>
      </c>
    </row>
    <row r="304" spans="1:10" x14ac:dyDescent="0.3">
      <c r="A304">
        <v>94295</v>
      </c>
      <c r="B304">
        <v>7.5</v>
      </c>
      <c r="C304">
        <v>19.399999999999999</v>
      </c>
      <c r="D304">
        <v>7.8</v>
      </c>
      <c r="E304">
        <v>0</v>
      </c>
      <c r="H304">
        <f t="shared" si="4"/>
        <v>0</v>
      </c>
      <c r="J304">
        <v>0</v>
      </c>
    </row>
    <row r="305" spans="1:10" x14ac:dyDescent="0.3">
      <c r="A305">
        <v>94296</v>
      </c>
      <c r="B305">
        <v>13.2</v>
      </c>
      <c r="C305">
        <v>15</v>
      </c>
      <c r="D305">
        <v>6.1</v>
      </c>
      <c r="E305">
        <v>0</v>
      </c>
      <c r="H305">
        <f t="shared" si="4"/>
        <v>0</v>
      </c>
      <c r="J305">
        <v>0</v>
      </c>
    </row>
    <row r="306" spans="1:10" x14ac:dyDescent="0.3">
      <c r="A306">
        <v>94297</v>
      </c>
      <c r="B306">
        <v>13.3</v>
      </c>
      <c r="C306">
        <v>10</v>
      </c>
      <c r="D306">
        <v>3.3</v>
      </c>
      <c r="E306">
        <v>0</v>
      </c>
      <c r="H306">
        <f t="shared" si="4"/>
        <v>0</v>
      </c>
      <c r="J306">
        <v>0</v>
      </c>
    </row>
    <row r="307" spans="1:10" x14ac:dyDescent="0.3">
      <c r="A307">
        <v>94298</v>
      </c>
      <c r="B307">
        <v>13.6</v>
      </c>
      <c r="C307">
        <v>10</v>
      </c>
      <c r="D307">
        <v>-0.6</v>
      </c>
      <c r="E307">
        <v>0</v>
      </c>
      <c r="H307">
        <f t="shared" si="4"/>
        <v>0</v>
      </c>
      <c r="J307">
        <v>0</v>
      </c>
    </row>
    <row r="308" spans="1:10" x14ac:dyDescent="0.3">
      <c r="A308">
        <v>94299</v>
      </c>
      <c r="B308">
        <v>13.3</v>
      </c>
      <c r="C308">
        <v>14.4</v>
      </c>
      <c r="D308">
        <v>-3.3</v>
      </c>
      <c r="E308">
        <v>0</v>
      </c>
      <c r="H308">
        <f t="shared" si="4"/>
        <v>0</v>
      </c>
      <c r="J308">
        <v>0</v>
      </c>
    </row>
    <row r="309" spans="1:10" x14ac:dyDescent="0.3">
      <c r="A309">
        <v>94300</v>
      </c>
      <c r="B309">
        <v>13.1</v>
      </c>
      <c r="C309">
        <v>20</v>
      </c>
      <c r="D309">
        <v>3.9</v>
      </c>
      <c r="E309">
        <v>0</v>
      </c>
      <c r="H309">
        <f t="shared" si="4"/>
        <v>0</v>
      </c>
      <c r="J309">
        <v>0</v>
      </c>
    </row>
    <row r="310" spans="1:10" x14ac:dyDescent="0.3">
      <c r="A310">
        <v>94301</v>
      </c>
      <c r="B310">
        <v>10.6</v>
      </c>
      <c r="C310">
        <v>20</v>
      </c>
      <c r="D310">
        <v>10.6</v>
      </c>
      <c r="E310">
        <v>0</v>
      </c>
      <c r="H310">
        <f t="shared" si="4"/>
        <v>0</v>
      </c>
      <c r="J310">
        <v>0</v>
      </c>
    </row>
    <row r="311" spans="1:10" x14ac:dyDescent="0.3">
      <c r="A311">
        <v>94302</v>
      </c>
      <c r="B311">
        <v>10.6</v>
      </c>
      <c r="C311">
        <v>17.2</v>
      </c>
      <c r="D311">
        <v>4.4000000000000004</v>
      </c>
      <c r="E311">
        <v>0</v>
      </c>
      <c r="H311">
        <f t="shared" si="4"/>
        <v>0</v>
      </c>
      <c r="J311">
        <v>0</v>
      </c>
    </row>
    <row r="312" spans="1:10" x14ac:dyDescent="0.3">
      <c r="A312">
        <v>94303</v>
      </c>
      <c r="B312">
        <v>6.3</v>
      </c>
      <c r="C312">
        <v>11.1</v>
      </c>
      <c r="D312">
        <v>0</v>
      </c>
      <c r="E312">
        <v>0.5</v>
      </c>
      <c r="H312">
        <f t="shared" si="4"/>
        <v>1</v>
      </c>
      <c r="J312">
        <v>0.5</v>
      </c>
    </row>
    <row r="313" spans="1:10" x14ac:dyDescent="0.3">
      <c r="A313">
        <v>94304</v>
      </c>
      <c r="B313">
        <v>7.3</v>
      </c>
      <c r="C313">
        <v>13.3</v>
      </c>
      <c r="D313">
        <v>-0.6</v>
      </c>
      <c r="E313">
        <v>0</v>
      </c>
      <c r="H313">
        <f t="shared" si="4"/>
        <v>0</v>
      </c>
      <c r="J313">
        <v>0</v>
      </c>
    </row>
    <row r="314" spans="1:10" x14ac:dyDescent="0.3">
      <c r="A314">
        <v>94305</v>
      </c>
      <c r="B314">
        <v>8.4</v>
      </c>
      <c r="C314">
        <v>13.9</v>
      </c>
      <c r="D314">
        <v>-2.2000000000000002</v>
      </c>
      <c r="E314">
        <v>0</v>
      </c>
      <c r="H314">
        <f t="shared" si="4"/>
        <v>0</v>
      </c>
      <c r="J314">
        <v>0</v>
      </c>
    </row>
    <row r="315" spans="1:10" x14ac:dyDescent="0.3">
      <c r="A315">
        <v>94306</v>
      </c>
      <c r="B315">
        <v>10.9</v>
      </c>
      <c r="C315">
        <v>17.8</v>
      </c>
      <c r="D315">
        <v>8.3000000000000007</v>
      </c>
      <c r="E315">
        <v>0</v>
      </c>
      <c r="H315">
        <f t="shared" si="4"/>
        <v>0</v>
      </c>
      <c r="J315">
        <v>0</v>
      </c>
    </row>
    <row r="316" spans="1:10" x14ac:dyDescent="0.3">
      <c r="A316">
        <v>94307</v>
      </c>
      <c r="B316">
        <v>3.9</v>
      </c>
      <c r="C316">
        <v>13.3</v>
      </c>
      <c r="D316">
        <v>6.7</v>
      </c>
      <c r="E316">
        <v>0</v>
      </c>
      <c r="H316">
        <f t="shared" si="4"/>
        <v>0</v>
      </c>
      <c r="J316">
        <v>0</v>
      </c>
    </row>
    <row r="317" spans="1:10" x14ac:dyDescent="0.3">
      <c r="A317">
        <v>94308</v>
      </c>
      <c r="B317">
        <v>3.8</v>
      </c>
      <c r="C317">
        <v>7.8</v>
      </c>
      <c r="D317">
        <v>4.4000000000000004</v>
      </c>
      <c r="E317">
        <v>2.2999999999999998</v>
      </c>
      <c r="H317">
        <f t="shared" si="4"/>
        <v>4.5999999999999996</v>
      </c>
      <c r="J317">
        <v>2.2999999999999998</v>
      </c>
    </row>
    <row r="318" spans="1:10" x14ac:dyDescent="0.3">
      <c r="A318">
        <v>94309</v>
      </c>
      <c r="B318">
        <v>3.9</v>
      </c>
      <c r="C318">
        <v>10</v>
      </c>
      <c r="D318">
        <v>2.8</v>
      </c>
      <c r="E318">
        <v>0</v>
      </c>
      <c r="H318">
        <f t="shared" si="4"/>
        <v>0</v>
      </c>
      <c r="J318">
        <v>0</v>
      </c>
    </row>
    <row r="319" spans="1:10" x14ac:dyDescent="0.3">
      <c r="A319">
        <v>94310</v>
      </c>
      <c r="B319">
        <v>11.4</v>
      </c>
      <c r="C319">
        <v>14.4</v>
      </c>
      <c r="D319">
        <v>0</v>
      </c>
      <c r="E319">
        <v>0</v>
      </c>
      <c r="H319">
        <f t="shared" si="4"/>
        <v>0</v>
      </c>
      <c r="J319">
        <v>0</v>
      </c>
    </row>
    <row r="320" spans="1:10" x14ac:dyDescent="0.3">
      <c r="A320">
        <v>94311</v>
      </c>
      <c r="B320">
        <v>11</v>
      </c>
      <c r="C320">
        <v>20</v>
      </c>
      <c r="D320">
        <v>5</v>
      </c>
      <c r="E320">
        <v>0</v>
      </c>
      <c r="H320">
        <f t="shared" si="4"/>
        <v>0</v>
      </c>
      <c r="J320">
        <v>0</v>
      </c>
    </row>
    <row r="321" spans="1:10" x14ac:dyDescent="0.3">
      <c r="A321">
        <v>94312</v>
      </c>
      <c r="B321">
        <v>4.5</v>
      </c>
      <c r="C321">
        <v>13.9</v>
      </c>
      <c r="D321">
        <v>6.7</v>
      </c>
      <c r="E321">
        <v>0.8</v>
      </c>
      <c r="H321">
        <f t="shared" si="4"/>
        <v>1.6</v>
      </c>
      <c r="J321">
        <v>0.8</v>
      </c>
    </row>
    <row r="322" spans="1:10" x14ac:dyDescent="0.3">
      <c r="A322">
        <v>94313</v>
      </c>
      <c r="B322">
        <v>5.8</v>
      </c>
      <c r="C322">
        <v>10.6</v>
      </c>
      <c r="D322">
        <v>0</v>
      </c>
      <c r="E322">
        <v>2</v>
      </c>
      <c r="H322">
        <f t="shared" si="4"/>
        <v>4</v>
      </c>
      <c r="J322">
        <v>2</v>
      </c>
    </row>
    <row r="323" spans="1:10" x14ac:dyDescent="0.3">
      <c r="A323">
        <v>94314</v>
      </c>
      <c r="B323">
        <v>10.7</v>
      </c>
      <c r="C323">
        <v>12.2</v>
      </c>
      <c r="D323">
        <v>-3.3</v>
      </c>
      <c r="E323">
        <v>0</v>
      </c>
      <c r="H323">
        <f t="shared" si="4"/>
        <v>0</v>
      </c>
      <c r="J323">
        <v>0</v>
      </c>
    </row>
    <row r="324" spans="1:10" x14ac:dyDescent="0.3">
      <c r="A324">
        <v>94315</v>
      </c>
      <c r="B324">
        <v>3.7</v>
      </c>
      <c r="C324">
        <v>10</v>
      </c>
      <c r="D324">
        <v>1.7</v>
      </c>
      <c r="E324">
        <v>0</v>
      </c>
      <c r="H324">
        <f t="shared" si="4"/>
        <v>0</v>
      </c>
      <c r="J324">
        <v>0</v>
      </c>
    </row>
    <row r="325" spans="1:10" x14ac:dyDescent="0.3">
      <c r="A325">
        <v>94316</v>
      </c>
      <c r="B325">
        <v>8.5</v>
      </c>
      <c r="C325">
        <v>17.2</v>
      </c>
      <c r="D325">
        <v>6.1</v>
      </c>
      <c r="E325">
        <v>0</v>
      </c>
      <c r="H325">
        <f t="shared" si="4"/>
        <v>0</v>
      </c>
      <c r="J325">
        <v>0</v>
      </c>
    </row>
    <row r="326" spans="1:10" x14ac:dyDescent="0.3">
      <c r="A326">
        <v>94317</v>
      </c>
      <c r="B326">
        <v>3.6</v>
      </c>
      <c r="C326">
        <v>14.4</v>
      </c>
      <c r="D326">
        <v>10</v>
      </c>
      <c r="E326">
        <v>5.8</v>
      </c>
      <c r="H326">
        <f t="shared" si="4"/>
        <v>11.6</v>
      </c>
      <c r="J326">
        <v>5.8</v>
      </c>
    </row>
    <row r="327" spans="1:10" x14ac:dyDescent="0.3">
      <c r="A327">
        <v>94318</v>
      </c>
      <c r="B327">
        <v>10.199999999999999</v>
      </c>
      <c r="C327">
        <v>11.7</v>
      </c>
      <c r="D327">
        <v>2.8</v>
      </c>
      <c r="E327">
        <v>0</v>
      </c>
      <c r="H327">
        <f t="shared" si="4"/>
        <v>0</v>
      </c>
      <c r="J327">
        <v>0</v>
      </c>
    </row>
    <row r="328" spans="1:10" x14ac:dyDescent="0.3">
      <c r="A328">
        <v>94319</v>
      </c>
      <c r="B328">
        <v>9.6999999999999993</v>
      </c>
      <c r="C328">
        <v>10.6</v>
      </c>
      <c r="D328">
        <v>0.6</v>
      </c>
      <c r="E328">
        <v>0</v>
      </c>
      <c r="H328">
        <f t="shared" si="4"/>
        <v>0</v>
      </c>
      <c r="J328">
        <v>0</v>
      </c>
    </row>
    <row r="329" spans="1:10" x14ac:dyDescent="0.3">
      <c r="A329">
        <v>94320</v>
      </c>
      <c r="B329">
        <v>9.9</v>
      </c>
      <c r="C329">
        <v>11.7</v>
      </c>
      <c r="D329">
        <v>-3.3</v>
      </c>
      <c r="E329">
        <v>0</v>
      </c>
      <c r="H329">
        <f t="shared" si="4"/>
        <v>0</v>
      </c>
      <c r="J329">
        <v>0</v>
      </c>
    </row>
    <row r="330" spans="1:10" x14ac:dyDescent="0.3">
      <c r="A330">
        <v>94321</v>
      </c>
      <c r="B330">
        <v>7</v>
      </c>
      <c r="C330">
        <v>15</v>
      </c>
      <c r="D330">
        <v>5</v>
      </c>
      <c r="E330">
        <v>1.5</v>
      </c>
      <c r="H330">
        <f t="shared" si="4"/>
        <v>3</v>
      </c>
      <c r="J330">
        <v>1.5</v>
      </c>
    </row>
    <row r="331" spans="1:10" x14ac:dyDescent="0.3">
      <c r="A331">
        <v>94322</v>
      </c>
      <c r="B331">
        <v>9.9</v>
      </c>
      <c r="C331">
        <v>8.9</v>
      </c>
      <c r="D331">
        <v>-1.7</v>
      </c>
      <c r="E331">
        <v>0</v>
      </c>
      <c r="H331">
        <f t="shared" ref="H331:H374" si="5">E331*2</f>
        <v>0</v>
      </c>
      <c r="J331">
        <v>0</v>
      </c>
    </row>
    <row r="332" spans="1:10" x14ac:dyDescent="0.3">
      <c r="A332">
        <v>94323</v>
      </c>
      <c r="B332">
        <v>4.5</v>
      </c>
      <c r="C332">
        <v>5</v>
      </c>
      <c r="D332">
        <v>-2.8</v>
      </c>
      <c r="E332">
        <v>0</v>
      </c>
      <c r="H332">
        <f t="shared" si="5"/>
        <v>0</v>
      </c>
      <c r="J332">
        <v>0</v>
      </c>
    </row>
    <row r="333" spans="1:10" x14ac:dyDescent="0.3">
      <c r="A333">
        <v>94324</v>
      </c>
      <c r="B333">
        <v>3.3</v>
      </c>
      <c r="C333">
        <v>8.3000000000000007</v>
      </c>
      <c r="D333">
        <v>4.4000000000000004</v>
      </c>
      <c r="E333">
        <v>20.6</v>
      </c>
      <c r="H333">
        <f t="shared" si="5"/>
        <v>41.2</v>
      </c>
      <c r="J333">
        <v>20.6</v>
      </c>
    </row>
    <row r="334" spans="1:10" x14ac:dyDescent="0.3">
      <c r="A334">
        <v>94325</v>
      </c>
      <c r="B334">
        <v>9.5</v>
      </c>
      <c r="C334">
        <v>7.8</v>
      </c>
      <c r="D334">
        <v>-1.7</v>
      </c>
      <c r="E334">
        <v>2</v>
      </c>
      <c r="H334">
        <f t="shared" si="5"/>
        <v>4</v>
      </c>
      <c r="J334">
        <v>2</v>
      </c>
    </row>
    <row r="335" spans="1:10" x14ac:dyDescent="0.3">
      <c r="A335">
        <v>94326</v>
      </c>
      <c r="B335">
        <v>8.6</v>
      </c>
      <c r="C335">
        <v>3.9</v>
      </c>
      <c r="D335">
        <v>-3.9</v>
      </c>
      <c r="E335">
        <v>0</v>
      </c>
      <c r="H335">
        <f t="shared" si="5"/>
        <v>0</v>
      </c>
      <c r="J335">
        <v>0</v>
      </c>
    </row>
    <row r="336" spans="1:10" x14ac:dyDescent="0.3">
      <c r="A336">
        <v>94327</v>
      </c>
      <c r="B336">
        <v>9.4</v>
      </c>
      <c r="C336">
        <v>8.9</v>
      </c>
      <c r="D336">
        <v>-2.8</v>
      </c>
      <c r="E336">
        <v>0</v>
      </c>
      <c r="H336">
        <f t="shared" si="5"/>
        <v>0</v>
      </c>
      <c r="J336">
        <v>0</v>
      </c>
    </row>
    <row r="337" spans="1:10" x14ac:dyDescent="0.3">
      <c r="A337">
        <v>94328</v>
      </c>
      <c r="B337">
        <v>8.5</v>
      </c>
      <c r="C337">
        <v>8.9</v>
      </c>
      <c r="D337">
        <v>0.6</v>
      </c>
      <c r="E337">
        <v>0</v>
      </c>
      <c r="H337">
        <f t="shared" si="5"/>
        <v>0</v>
      </c>
      <c r="J337">
        <v>0</v>
      </c>
    </row>
    <row r="338" spans="1:10" x14ac:dyDescent="0.3">
      <c r="A338">
        <v>94329</v>
      </c>
      <c r="B338">
        <v>9</v>
      </c>
      <c r="C338">
        <v>9.4</v>
      </c>
      <c r="D338">
        <v>-3.3</v>
      </c>
      <c r="E338">
        <v>0</v>
      </c>
      <c r="H338">
        <f t="shared" si="5"/>
        <v>0</v>
      </c>
      <c r="J338">
        <v>0</v>
      </c>
    </row>
    <row r="339" spans="1:10" x14ac:dyDescent="0.3">
      <c r="A339">
        <v>94330</v>
      </c>
      <c r="B339">
        <v>4.3</v>
      </c>
      <c r="C339">
        <v>6.1</v>
      </c>
      <c r="D339">
        <v>0</v>
      </c>
      <c r="E339">
        <v>0</v>
      </c>
      <c r="H339">
        <f t="shared" si="5"/>
        <v>0</v>
      </c>
      <c r="J339">
        <v>0</v>
      </c>
    </row>
    <row r="340" spans="1:10" x14ac:dyDescent="0.3">
      <c r="A340">
        <v>94331</v>
      </c>
      <c r="B340">
        <v>2.8</v>
      </c>
      <c r="C340">
        <v>10.6</v>
      </c>
      <c r="D340">
        <v>-0.6</v>
      </c>
      <c r="E340">
        <v>7.1</v>
      </c>
      <c r="H340">
        <f t="shared" si="5"/>
        <v>14.2</v>
      </c>
      <c r="J340">
        <v>7.1</v>
      </c>
    </row>
    <row r="341" spans="1:10" x14ac:dyDescent="0.3">
      <c r="A341">
        <v>94332</v>
      </c>
      <c r="B341">
        <v>8.9</v>
      </c>
      <c r="C341">
        <v>2.2000000000000002</v>
      </c>
      <c r="D341">
        <v>-3.3</v>
      </c>
      <c r="E341">
        <v>0.5</v>
      </c>
      <c r="H341">
        <f t="shared" si="5"/>
        <v>1</v>
      </c>
      <c r="J341">
        <v>0.5</v>
      </c>
    </row>
    <row r="342" spans="1:10" x14ac:dyDescent="0.3">
      <c r="A342">
        <v>94333</v>
      </c>
      <c r="B342">
        <v>6.2</v>
      </c>
      <c r="C342">
        <v>-1.1000000000000001</v>
      </c>
      <c r="D342">
        <v>-6.7</v>
      </c>
      <c r="E342">
        <v>0</v>
      </c>
      <c r="H342">
        <f t="shared" si="5"/>
        <v>0</v>
      </c>
      <c r="J342">
        <v>0</v>
      </c>
    </row>
    <row r="343" spans="1:10" x14ac:dyDescent="0.3">
      <c r="A343">
        <v>94334</v>
      </c>
      <c r="B343">
        <v>8.6</v>
      </c>
      <c r="C343">
        <v>9.4</v>
      </c>
      <c r="D343">
        <v>-7.8</v>
      </c>
      <c r="E343">
        <v>0</v>
      </c>
      <c r="H343">
        <f t="shared" si="5"/>
        <v>0</v>
      </c>
      <c r="J343">
        <v>0</v>
      </c>
    </row>
    <row r="344" spans="1:10" x14ac:dyDescent="0.3">
      <c r="A344">
        <v>94335</v>
      </c>
      <c r="B344">
        <v>8</v>
      </c>
      <c r="C344">
        <v>16.100000000000001</v>
      </c>
      <c r="D344">
        <v>-0.6</v>
      </c>
      <c r="E344">
        <v>0</v>
      </c>
      <c r="H344">
        <f t="shared" si="5"/>
        <v>0</v>
      </c>
      <c r="J344">
        <v>0</v>
      </c>
    </row>
    <row r="345" spans="1:10" x14ac:dyDescent="0.3">
      <c r="A345">
        <v>94336</v>
      </c>
      <c r="B345">
        <v>8.5</v>
      </c>
      <c r="C345">
        <v>13.9</v>
      </c>
      <c r="D345">
        <v>1.7</v>
      </c>
      <c r="E345">
        <v>0</v>
      </c>
      <c r="H345">
        <f t="shared" si="5"/>
        <v>0</v>
      </c>
      <c r="J345">
        <v>0</v>
      </c>
    </row>
    <row r="346" spans="1:10" x14ac:dyDescent="0.3">
      <c r="A346">
        <v>94337</v>
      </c>
      <c r="B346">
        <v>6.4</v>
      </c>
      <c r="C346">
        <v>12.2</v>
      </c>
      <c r="D346">
        <v>1.1000000000000001</v>
      </c>
      <c r="E346">
        <v>0</v>
      </c>
      <c r="H346">
        <f t="shared" si="5"/>
        <v>0</v>
      </c>
      <c r="J346">
        <v>0</v>
      </c>
    </row>
    <row r="347" spans="1:10" x14ac:dyDescent="0.3">
      <c r="A347">
        <v>94338</v>
      </c>
      <c r="B347">
        <v>2.8</v>
      </c>
      <c r="C347">
        <v>9.4</v>
      </c>
      <c r="D347">
        <v>1.1000000000000001</v>
      </c>
      <c r="E347">
        <v>5.6</v>
      </c>
      <c r="H347">
        <f t="shared" si="5"/>
        <v>11.2</v>
      </c>
      <c r="J347">
        <v>5.6</v>
      </c>
    </row>
    <row r="348" spans="1:10" x14ac:dyDescent="0.3">
      <c r="A348">
        <v>94339</v>
      </c>
      <c r="B348">
        <v>3.5</v>
      </c>
      <c r="C348">
        <v>2.2000000000000002</v>
      </c>
      <c r="D348">
        <v>-6.1</v>
      </c>
      <c r="E348">
        <v>0</v>
      </c>
      <c r="H348">
        <f t="shared" si="5"/>
        <v>0</v>
      </c>
      <c r="J348">
        <v>0</v>
      </c>
    </row>
    <row r="349" spans="1:10" x14ac:dyDescent="0.3">
      <c r="A349">
        <v>94340</v>
      </c>
      <c r="B349">
        <v>2.7</v>
      </c>
      <c r="C349">
        <v>-3.9</v>
      </c>
      <c r="D349">
        <v>-6.1</v>
      </c>
      <c r="E349">
        <v>36.299999999999997</v>
      </c>
      <c r="H349">
        <f t="shared" si="5"/>
        <v>72.599999999999994</v>
      </c>
      <c r="J349">
        <v>36.299999999999997</v>
      </c>
    </row>
    <row r="350" spans="1:10" x14ac:dyDescent="0.3">
      <c r="A350">
        <v>94341</v>
      </c>
      <c r="B350">
        <v>6.2</v>
      </c>
      <c r="C350">
        <v>-0.6</v>
      </c>
      <c r="D350">
        <v>-5.6</v>
      </c>
      <c r="E350">
        <v>4.0999999999999996</v>
      </c>
      <c r="H350">
        <f t="shared" si="5"/>
        <v>8.1999999999999993</v>
      </c>
      <c r="J350">
        <v>4.0999999999999996</v>
      </c>
    </row>
    <row r="351" spans="1:10" x14ac:dyDescent="0.3">
      <c r="A351">
        <v>94342</v>
      </c>
      <c r="B351">
        <v>4</v>
      </c>
      <c r="C351">
        <v>0</v>
      </c>
      <c r="D351">
        <v>-3.3</v>
      </c>
      <c r="E351">
        <v>0.3</v>
      </c>
      <c r="H351">
        <f t="shared" si="5"/>
        <v>0.6</v>
      </c>
      <c r="J351">
        <v>0.3</v>
      </c>
    </row>
    <row r="352" spans="1:10" x14ac:dyDescent="0.3">
      <c r="A352">
        <v>94343</v>
      </c>
      <c r="B352">
        <v>6.2</v>
      </c>
      <c r="C352">
        <v>-1.1000000000000001</v>
      </c>
      <c r="D352">
        <v>-12.2</v>
      </c>
      <c r="E352">
        <v>0</v>
      </c>
      <c r="H352">
        <f t="shared" si="5"/>
        <v>0</v>
      </c>
      <c r="J352">
        <v>0</v>
      </c>
    </row>
    <row r="353" spans="1:10" x14ac:dyDescent="0.3">
      <c r="A353">
        <v>94344</v>
      </c>
      <c r="B353">
        <v>6.9</v>
      </c>
      <c r="C353">
        <v>-4.4000000000000004</v>
      </c>
      <c r="D353">
        <v>-14.4</v>
      </c>
      <c r="E353">
        <v>0</v>
      </c>
      <c r="H353">
        <f t="shared" si="5"/>
        <v>0</v>
      </c>
      <c r="J353">
        <v>0</v>
      </c>
    </row>
    <row r="354" spans="1:10" x14ac:dyDescent="0.3">
      <c r="A354">
        <v>94345</v>
      </c>
      <c r="B354">
        <v>7.6</v>
      </c>
      <c r="C354">
        <v>-9.4</v>
      </c>
      <c r="D354">
        <v>-20</v>
      </c>
      <c r="E354">
        <v>0</v>
      </c>
      <c r="H354">
        <f t="shared" si="5"/>
        <v>0</v>
      </c>
      <c r="J354">
        <v>0</v>
      </c>
    </row>
    <row r="355" spans="1:10" x14ac:dyDescent="0.3">
      <c r="A355">
        <v>94346</v>
      </c>
      <c r="B355">
        <v>8.1</v>
      </c>
      <c r="C355">
        <v>0</v>
      </c>
      <c r="D355">
        <v>-10.6</v>
      </c>
      <c r="E355">
        <v>0</v>
      </c>
      <c r="H355">
        <f t="shared" si="5"/>
        <v>0</v>
      </c>
      <c r="J355">
        <v>0</v>
      </c>
    </row>
    <row r="356" spans="1:10" x14ac:dyDescent="0.3">
      <c r="A356">
        <v>94347</v>
      </c>
      <c r="B356">
        <v>4</v>
      </c>
      <c r="C356">
        <v>-3.9</v>
      </c>
      <c r="D356">
        <v>-10</v>
      </c>
      <c r="E356">
        <v>0</v>
      </c>
      <c r="H356">
        <f t="shared" si="5"/>
        <v>0</v>
      </c>
      <c r="J356">
        <v>0</v>
      </c>
    </row>
    <row r="357" spans="1:10" x14ac:dyDescent="0.3">
      <c r="A357">
        <v>94348</v>
      </c>
      <c r="B357">
        <v>4.9000000000000004</v>
      </c>
      <c r="C357">
        <v>-3.3</v>
      </c>
      <c r="D357">
        <v>-6.7</v>
      </c>
      <c r="E357">
        <v>3</v>
      </c>
      <c r="H357">
        <f t="shared" si="5"/>
        <v>6</v>
      </c>
      <c r="J357">
        <v>3</v>
      </c>
    </row>
    <row r="358" spans="1:10" x14ac:dyDescent="0.3">
      <c r="A358">
        <v>94349</v>
      </c>
      <c r="B358">
        <v>5.8</v>
      </c>
      <c r="C358">
        <v>2.8</v>
      </c>
      <c r="D358">
        <v>-3.3</v>
      </c>
      <c r="E358">
        <v>0</v>
      </c>
      <c r="H358">
        <f t="shared" si="5"/>
        <v>0</v>
      </c>
      <c r="J358">
        <v>0</v>
      </c>
    </row>
    <row r="359" spans="1:10" x14ac:dyDescent="0.3">
      <c r="A359">
        <v>94350</v>
      </c>
      <c r="B359">
        <v>5.5</v>
      </c>
      <c r="C359">
        <v>2.2000000000000002</v>
      </c>
      <c r="D359">
        <v>-4.4000000000000004</v>
      </c>
      <c r="E359">
        <v>1.8</v>
      </c>
      <c r="H359">
        <f t="shared" si="5"/>
        <v>3.6</v>
      </c>
      <c r="J359">
        <v>1.8</v>
      </c>
    </row>
    <row r="360" spans="1:10" x14ac:dyDescent="0.3">
      <c r="A360">
        <v>94351</v>
      </c>
      <c r="B360">
        <v>8.1999999999999993</v>
      </c>
      <c r="C360">
        <v>3.9</v>
      </c>
      <c r="D360">
        <v>-4.4000000000000004</v>
      </c>
      <c r="E360">
        <v>0</v>
      </c>
      <c r="H360">
        <f t="shared" si="5"/>
        <v>0</v>
      </c>
      <c r="J360">
        <v>0</v>
      </c>
    </row>
    <row r="361" spans="1:10" x14ac:dyDescent="0.3">
      <c r="A361">
        <v>94352</v>
      </c>
      <c r="B361">
        <v>7.9</v>
      </c>
      <c r="C361">
        <v>-3.3</v>
      </c>
      <c r="D361">
        <v>-8.3000000000000007</v>
      </c>
      <c r="E361">
        <v>0</v>
      </c>
      <c r="H361">
        <f t="shared" si="5"/>
        <v>0</v>
      </c>
      <c r="J361">
        <v>0</v>
      </c>
    </row>
    <row r="362" spans="1:10" x14ac:dyDescent="0.3">
      <c r="A362">
        <v>94353</v>
      </c>
      <c r="B362">
        <v>7.4</v>
      </c>
      <c r="C362">
        <v>7.8</v>
      </c>
      <c r="D362">
        <v>-5.6</v>
      </c>
      <c r="E362">
        <v>0</v>
      </c>
      <c r="H362">
        <f t="shared" si="5"/>
        <v>0</v>
      </c>
      <c r="J362">
        <v>0</v>
      </c>
    </row>
    <row r="363" spans="1:10" x14ac:dyDescent="0.3">
      <c r="A363">
        <v>94354</v>
      </c>
      <c r="B363">
        <v>8.4</v>
      </c>
      <c r="C363">
        <v>6.1</v>
      </c>
      <c r="D363">
        <v>1.7</v>
      </c>
      <c r="E363">
        <v>0.3</v>
      </c>
      <c r="H363">
        <f t="shared" si="5"/>
        <v>0.6</v>
      </c>
      <c r="J363">
        <v>0.3</v>
      </c>
    </row>
    <row r="364" spans="1:10" x14ac:dyDescent="0.3">
      <c r="A364">
        <v>94355</v>
      </c>
      <c r="B364">
        <v>3.5</v>
      </c>
      <c r="C364">
        <v>3.9</v>
      </c>
      <c r="D364">
        <v>0.6</v>
      </c>
      <c r="E364">
        <v>0</v>
      </c>
      <c r="H364">
        <f t="shared" si="5"/>
        <v>0</v>
      </c>
      <c r="J364">
        <v>0</v>
      </c>
    </row>
    <row r="365" spans="1:10" x14ac:dyDescent="0.3">
      <c r="A365">
        <v>94356</v>
      </c>
      <c r="B365">
        <v>2.5</v>
      </c>
      <c r="C365">
        <v>1.1000000000000001</v>
      </c>
      <c r="D365">
        <v>-1.1000000000000001</v>
      </c>
      <c r="E365">
        <v>0</v>
      </c>
      <c r="H365">
        <f t="shared" si="5"/>
        <v>0</v>
      </c>
      <c r="J365">
        <v>0</v>
      </c>
    </row>
    <row r="366" spans="1:10" x14ac:dyDescent="0.3">
      <c r="A366">
        <v>94357</v>
      </c>
      <c r="B366">
        <v>4.8</v>
      </c>
      <c r="C366">
        <v>2.8</v>
      </c>
      <c r="D366">
        <v>-5</v>
      </c>
      <c r="E366">
        <v>0</v>
      </c>
      <c r="H366">
        <f t="shared" si="5"/>
        <v>0</v>
      </c>
      <c r="J366">
        <v>0</v>
      </c>
    </row>
    <row r="367" spans="1:10" x14ac:dyDescent="0.3">
      <c r="A367">
        <v>94358</v>
      </c>
      <c r="B367">
        <v>7.5</v>
      </c>
      <c r="C367">
        <v>5</v>
      </c>
      <c r="D367">
        <v>-7.8</v>
      </c>
      <c r="E367">
        <v>0</v>
      </c>
      <c r="H367">
        <f t="shared" si="5"/>
        <v>0</v>
      </c>
      <c r="J367">
        <v>0</v>
      </c>
    </row>
    <row r="368" spans="1:10" x14ac:dyDescent="0.3">
      <c r="A368">
        <v>94359</v>
      </c>
      <c r="B368">
        <v>7.6</v>
      </c>
      <c r="C368">
        <v>9.4</v>
      </c>
      <c r="D368">
        <v>-6.1</v>
      </c>
      <c r="E368">
        <v>0</v>
      </c>
      <c r="H368">
        <f t="shared" si="5"/>
        <v>0</v>
      </c>
      <c r="J368">
        <v>0</v>
      </c>
    </row>
    <row r="369" spans="1:10" x14ac:dyDescent="0.3">
      <c r="A369">
        <v>94360</v>
      </c>
      <c r="B369">
        <v>7.7</v>
      </c>
      <c r="C369">
        <v>10</v>
      </c>
      <c r="D369">
        <v>-5.6</v>
      </c>
      <c r="E369">
        <v>0</v>
      </c>
      <c r="H369">
        <f t="shared" si="5"/>
        <v>0</v>
      </c>
      <c r="J369">
        <v>0</v>
      </c>
    </row>
    <row r="370" spans="1:10" x14ac:dyDescent="0.3">
      <c r="A370">
        <v>94361</v>
      </c>
      <c r="B370">
        <v>7.7</v>
      </c>
      <c r="C370">
        <v>12.8</v>
      </c>
      <c r="D370">
        <v>0.6</v>
      </c>
      <c r="E370">
        <v>0</v>
      </c>
      <c r="H370">
        <f t="shared" si="5"/>
        <v>0</v>
      </c>
      <c r="J370">
        <v>0</v>
      </c>
    </row>
    <row r="371" spans="1:10" x14ac:dyDescent="0.3">
      <c r="A371">
        <v>94362</v>
      </c>
      <c r="B371">
        <v>2.7</v>
      </c>
      <c r="C371">
        <v>1.7</v>
      </c>
      <c r="D371">
        <v>-1.7</v>
      </c>
      <c r="E371">
        <v>0</v>
      </c>
      <c r="H371">
        <f t="shared" si="5"/>
        <v>0</v>
      </c>
      <c r="J371">
        <v>0</v>
      </c>
    </row>
    <row r="372" spans="1:10" x14ac:dyDescent="0.3">
      <c r="A372">
        <v>94363</v>
      </c>
      <c r="B372">
        <v>3.7</v>
      </c>
      <c r="C372">
        <v>1.7</v>
      </c>
      <c r="D372">
        <v>-2.8</v>
      </c>
      <c r="E372">
        <v>0</v>
      </c>
      <c r="H372">
        <f t="shared" si="5"/>
        <v>0</v>
      </c>
      <c r="J372">
        <v>0</v>
      </c>
    </row>
    <row r="373" spans="1:10" x14ac:dyDescent="0.3">
      <c r="A373">
        <v>94364</v>
      </c>
      <c r="B373">
        <v>2.7</v>
      </c>
      <c r="C373">
        <v>1.7</v>
      </c>
      <c r="D373">
        <v>-0.6</v>
      </c>
      <c r="E373">
        <v>1</v>
      </c>
      <c r="H373">
        <f t="shared" si="5"/>
        <v>2</v>
      </c>
      <c r="J373">
        <v>1</v>
      </c>
    </row>
    <row r="374" spans="1:10" x14ac:dyDescent="0.3">
      <c r="A374">
        <v>94365</v>
      </c>
      <c r="B374">
        <v>4.3</v>
      </c>
      <c r="C374">
        <v>0.6</v>
      </c>
      <c r="D374">
        <v>-11.1</v>
      </c>
      <c r="E374">
        <v>9.1</v>
      </c>
      <c r="H374">
        <f t="shared" si="5"/>
        <v>18.2</v>
      </c>
      <c r="J374">
        <v>9.1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5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Layers</vt:lpstr>
      <vt:lpstr>Model</vt:lpstr>
      <vt:lpstr>Runoff</vt:lpstr>
      <vt:lpstr>Soil Profile Data</vt:lpstr>
      <vt:lpstr>Weather Data</vt:lpstr>
      <vt:lpstr>Graph</vt:lpstr>
      <vt:lpstr>ETin</vt:lpstr>
      <vt:lpstr>Soil</vt:lpstr>
      <vt:lpstr>Water</vt:lpstr>
      <vt:lpstr>Weather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bbatch</dc:creator>
  <cp:lastModifiedBy>William Batchelor</cp:lastModifiedBy>
  <dcterms:created xsi:type="dcterms:W3CDTF">2016-10-04T03:33:19Z</dcterms:created>
  <dcterms:modified xsi:type="dcterms:W3CDTF">2022-09-20T15:20:09Z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d6fcb071-6207-4199-92b2-36c0e1179c80</vt:lpwstr>
  </property>
</Properties>
</file>