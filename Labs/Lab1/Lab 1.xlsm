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db0007\Dropbox\BSEN 6250\Labs\"/>
    </mc:Choice>
  </mc:AlternateContent>
  <bookViews>
    <workbookView xWindow="120" yWindow="108" windowWidth="15180" windowHeight="8076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B14" i="1" l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C14" i="1"/>
  <c r="D14" i="1" s="1"/>
  <c r="A15" i="1"/>
  <c r="C15" i="1" s="1"/>
  <c r="D15" i="1" l="1"/>
  <c r="A16" i="1"/>
  <c r="A17" i="1" l="1"/>
  <c r="C16" i="1"/>
  <c r="D16" i="1" s="1"/>
  <c r="C17" i="1" l="1"/>
  <c r="D17" i="1" s="1"/>
  <c r="A18" i="1"/>
  <c r="A19" i="1" l="1"/>
  <c r="C18" i="1"/>
  <c r="D18" i="1" s="1"/>
  <c r="C19" i="1" l="1"/>
  <c r="D19" i="1" s="1"/>
  <c r="A20" i="1"/>
  <c r="C20" i="1" l="1"/>
  <c r="D20" i="1" s="1"/>
  <c r="A21" i="1"/>
  <c r="C21" i="1" l="1"/>
  <c r="D21" i="1" s="1"/>
  <c r="A22" i="1"/>
  <c r="C22" i="1" l="1"/>
  <c r="D22" i="1" s="1"/>
  <c r="A23" i="1"/>
  <c r="C23" i="1" l="1"/>
  <c r="D23" i="1" s="1"/>
  <c r="A24" i="1"/>
  <c r="C24" i="1" l="1"/>
  <c r="D24" i="1" s="1"/>
  <c r="A25" i="1"/>
  <c r="C25" i="1" l="1"/>
  <c r="D25" i="1" s="1"/>
  <c r="A26" i="1"/>
  <c r="C26" i="1" l="1"/>
  <c r="D26" i="1" s="1"/>
  <c r="A27" i="1"/>
  <c r="C27" i="1" l="1"/>
  <c r="D27" i="1" s="1"/>
  <c r="A28" i="1"/>
  <c r="C28" i="1" l="1"/>
  <c r="D28" i="1" s="1"/>
  <c r="A29" i="1"/>
  <c r="A30" i="1" l="1"/>
  <c r="C29" i="1"/>
  <c r="D29" i="1" s="1"/>
  <c r="C30" i="1" l="1"/>
  <c r="D30" i="1" s="1"/>
  <c r="A31" i="1"/>
  <c r="C31" i="1" l="1"/>
  <c r="D31" i="1" s="1"/>
  <c r="A32" i="1"/>
  <c r="C32" i="1" l="1"/>
  <c r="D32" i="1" s="1"/>
  <c r="A33" i="1"/>
  <c r="A34" i="1" s="1"/>
  <c r="A35" i="1" l="1"/>
  <c r="C34" i="1"/>
  <c r="D34" i="1" s="1"/>
  <c r="C33" i="1"/>
  <c r="D33" i="1" s="1"/>
  <c r="A36" i="1" l="1"/>
  <c r="C35" i="1"/>
  <c r="D35" i="1" s="1"/>
  <c r="C36" i="1" l="1"/>
  <c r="D36" i="1" s="1"/>
  <c r="A37" i="1"/>
  <c r="A38" i="1" l="1"/>
  <c r="C37" i="1"/>
  <c r="D37" i="1" s="1"/>
  <c r="C38" i="1" l="1"/>
  <c r="D38" i="1" s="1"/>
  <c r="A39" i="1"/>
  <c r="A40" i="1" l="1"/>
  <c r="C39" i="1"/>
  <c r="D39" i="1" s="1"/>
  <c r="C40" i="1" l="1"/>
  <c r="D40" i="1" s="1"/>
  <c r="A41" i="1"/>
  <c r="A42" i="1" l="1"/>
  <c r="C41" i="1"/>
  <c r="D41" i="1" s="1"/>
  <c r="A43" i="1" l="1"/>
  <c r="C42" i="1"/>
  <c r="D42" i="1" s="1"/>
  <c r="A44" i="1" l="1"/>
  <c r="C43" i="1"/>
  <c r="D43" i="1" s="1"/>
  <c r="C44" i="1" l="1"/>
  <c r="D44" i="1" s="1"/>
  <c r="A45" i="1"/>
  <c r="A46" i="1" l="1"/>
  <c r="C45" i="1"/>
  <c r="D45" i="1" s="1"/>
  <c r="C46" i="1" l="1"/>
  <c r="D46" i="1" s="1"/>
  <c r="A47" i="1"/>
  <c r="A48" i="1" l="1"/>
  <c r="C47" i="1"/>
  <c r="D47" i="1" s="1"/>
  <c r="C48" i="1" l="1"/>
  <c r="D48" i="1" s="1"/>
  <c r="A49" i="1"/>
  <c r="A50" i="1" l="1"/>
  <c r="C49" i="1"/>
  <c r="D49" i="1" s="1"/>
  <c r="C50" i="1" l="1"/>
  <c r="D50" i="1" s="1"/>
  <c r="A51" i="1"/>
  <c r="C51" i="1" l="1"/>
  <c r="D51" i="1" s="1"/>
  <c r="A52" i="1"/>
  <c r="C52" i="1" l="1"/>
  <c r="D52" i="1" s="1"/>
  <c r="A53" i="1"/>
  <c r="A54" i="1" l="1"/>
  <c r="C53" i="1"/>
  <c r="D53" i="1" s="1"/>
  <c r="C54" i="1" l="1"/>
  <c r="D54" i="1" s="1"/>
  <c r="A55" i="1"/>
  <c r="A56" i="1" l="1"/>
  <c r="C55" i="1"/>
  <c r="D55" i="1" s="1"/>
  <c r="C56" i="1" l="1"/>
  <c r="D56" i="1" s="1"/>
  <c r="A57" i="1"/>
  <c r="C57" i="1" l="1"/>
  <c r="D57" i="1" s="1"/>
  <c r="A58" i="1"/>
  <c r="C58" i="1" l="1"/>
  <c r="D58" i="1" s="1"/>
  <c r="A59" i="1"/>
  <c r="A60" i="1" l="1"/>
  <c r="C59" i="1"/>
  <c r="D59" i="1" s="1"/>
  <c r="C60" i="1" l="1"/>
  <c r="D60" i="1" s="1"/>
  <c r="A61" i="1"/>
  <c r="A62" i="1" l="1"/>
  <c r="C61" i="1"/>
  <c r="D61" i="1" s="1"/>
  <c r="C62" i="1" l="1"/>
  <c r="D62" i="1" s="1"/>
  <c r="A63" i="1"/>
  <c r="A64" i="1" l="1"/>
  <c r="C63" i="1"/>
  <c r="D63" i="1" s="1"/>
  <c r="A65" i="1" l="1"/>
  <c r="C64" i="1"/>
  <c r="D64" i="1" s="1"/>
  <c r="A66" i="1" l="1"/>
  <c r="C65" i="1"/>
  <c r="D65" i="1" s="1"/>
  <c r="C66" i="1" l="1"/>
  <c r="D66" i="1" s="1"/>
  <c r="A67" i="1"/>
  <c r="A68" i="1" l="1"/>
  <c r="C67" i="1"/>
  <c r="D67" i="1" s="1"/>
  <c r="C68" i="1" l="1"/>
  <c r="D68" i="1" s="1"/>
  <c r="A69" i="1"/>
  <c r="A70" i="1" l="1"/>
  <c r="C69" i="1"/>
  <c r="D69" i="1" s="1"/>
  <c r="A71" i="1" l="1"/>
  <c r="C70" i="1"/>
  <c r="D70" i="1" s="1"/>
  <c r="A72" i="1" l="1"/>
  <c r="C71" i="1"/>
  <c r="D71" i="1" s="1"/>
  <c r="C72" i="1" l="1"/>
  <c r="D72" i="1" s="1"/>
  <c r="A73" i="1"/>
  <c r="A74" i="1" l="1"/>
  <c r="C73" i="1"/>
  <c r="D73" i="1" s="1"/>
  <c r="C74" i="1" l="1"/>
  <c r="D74" i="1" s="1"/>
  <c r="A75" i="1"/>
  <c r="C75" i="1" l="1"/>
  <c r="D75" i="1" s="1"/>
  <c r="A76" i="1"/>
  <c r="C76" i="1" l="1"/>
  <c r="D76" i="1" s="1"/>
  <c r="A77" i="1"/>
  <c r="A78" i="1" l="1"/>
  <c r="C77" i="1"/>
  <c r="D77" i="1" s="1"/>
  <c r="A79" i="1" l="1"/>
  <c r="C78" i="1"/>
  <c r="D78" i="1" s="1"/>
  <c r="A80" i="1" l="1"/>
  <c r="C79" i="1"/>
  <c r="D79" i="1" s="1"/>
  <c r="A81" i="1" l="1"/>
  <c r="C80" i="1"/>
  <c r="D80" i="1" s="1"/>
  <c r="C81" i="1" l="1"/>
  <c r="D81" i="1" s="1"/>
  <c r="A82" i="1"/>
  <c r="C82" i="1" l="1"/>
  <c r="D82" i="1" s="1"/>
  <c r="A83" i="1"/>
  <c r="A84" i="1" l="1"/>
  <c r="C83" i="1"/>
  <c r="D83" i="1" s="1"/>
  <c r="C84" i="1" l="1"/>
  <c r="D84" i="1" s="1"/>
  <c r="A85" i="1"/>
  <c r="A86" i="1" l="1"/>
  <c r="C85" i="1"/>
  <c r="D85" i="1" s="1"/>
  <c r="C86" i="1" l="1"/>
  <c r="D86" i="1" s="1"/>
  <c r="A87" i="1"/>
  <c r="A88" i="1" l="1"/>
  <c r="C87" i="1"/>
  <c r="D87" i="1" s="1"/>
  <c r="C88" i="1" l="1"/>
  <c r="D88" i="1" s="1"/>
  <c r="A89" i="1"/>
  <c r="C89" i="1" s="1"/>
  <c r="D89" i="1" s="1"/>
</calcChain>
</file>

<file path=xl/sharedStrings.xml><?xml version="1.0" encoding="utf-8"?>
<sst xmlns="http://schemas.openxmlformats.org/spreadsheetml/2006/main" count="20" uniqueCount="19">
  <si>
    <t>k</t>
  </si>
  <si>
    <t>1/minute</t>
  </si>
  <si>
    <t>C inside</t>
  </si>
  <si>
    <t>C outside</t>
  </si>
  <si>
    <t>mole/liter</t>
  </si>
  <si>
    <t>Timestep</t>
  </si>
  <si>
    <t>minute</t>
  </si>
  <si>
    <t>Final Time</t>
  </si>
  <si>
    <t>minutes</t>
  </si>
  <si>
    <t>Lab 1: Diffusion of a Molecule into a cell</t>
  </si>
  <si>
    <t>Coefficients and Initial Conditions</t>
  </si>
  <si>
    <t>Variable</t>
  </si>
  <si>
    <t>Value</t>
  </si>
  <si>
    <t>Units</t>
  </si>
  <si>
    <t>Error, %</t>
  </si>
  <si>
    <t>Ci using Analytical Solution, mol/l</t>
  </si>
  <si>
    <t>Ci using Euler Method and VBA</t>
  </si>
  <si>
    <t>Ci using Euler method on Spreadsheet, mol/l</t>
  </si>
  <si>
    <t>Time,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</si>
</sst>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Diffusion of a molecule in a cell</a:t>
            </a:r>
          </a:p>
        </c:rich>
      </c:tx>
      <c:layout>
        <c:manualLayout>
          <c:xMode val="edge"/>
          <c:yMode val="edge"/>
          <c:x val="0.25661914460285135"/>
          <c:y val="2.9644268774703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718940936863545"/>
          <c:y val="0.14624505928853754"/>
          <c:w val="0.74745417515274948"/>
          <c:h val="0.50790513833992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Sheet1!$B$13</c:f>
              <c:strCache>
                <c:ptCount val="1"/>
                <c:pt idx="0">
                  <c:v>Ci using Euler method on Spreadsheet, mol/l</c:v>
                </c:pt>
              </c:strCache>
            </c:strRef>
          </c:tx>
          <c:spPr>
            <a:ln w="28575">
              <a:solidFill>
                <a:srgbClr val="808080"/>
              </a:solidFill>
            </a:ln>
          </c:spPr>
          <c:marker>
            <c:symbol val="none"/>
          </c:marker>
          <c:dPt>
            <c:idx val="1"/>
            <c:bubble3D val="0"/>
            <c:spPr>
              <a:ln w="28575">
                <a:solidFill>
                  <a:srgbClr val="FF00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A617-447D-A46D-2F9FC90C8243}"/>
              </c:ext>
            </c:extLst>
          </c:dPt>
          <c:xVal>
            <c:numRef>
              <c:f>Sheet1!$A$14:$A$89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Sheet1!$B$14:$B$89</c:f>
              <c:numCache>
                <c:formatCode>0.00</c:formatCode>
                <c:ptCount val="76"/>
                <c:pt idx="0">
                  <c:v>50</c:v>
                </c:pt>
                <c:pt idx="1">
                  <c:v>60</c:v>
                </c:pt>
                <c:pt idx="2">
                  <c:v>68</c:v>
                </c:pt>
                <c:pt idx="3">
                  <c:v>74.400000000000006</c:v>
                </c:pt>
                <c:pt idx="4">
                  <c:v>79.52000000000001</c:v>
                </c:pt>
                <c:pt idx="5">
                  <c:v>83.616000000000014</c:v>
                </c:pt>
                <c:pt idx="6">
                  <c:v>86.892800000000008</c:v>
                </c:pt>
                <c:pt idx="7">
                  <c:v>89.514240000000001</c:v>
                </c:pt>
                <c:pt idx="8">
                  <c:v>91.611391999999995</c:v>
                </c:pt>
                <c:pt idx="9">
                  <c:v>93.289113599999993</c:v>
                </c:pt>
                <c:pt idx="10">
                  <c:v>94.631290879999995</c:v>
                </c:pt>
                <c:pt idx="11">
                  <c:v>95.70503270399999</c:v>
                </c:pt>
                <c:pt idx="12">
                  <c:v>96.564026163199998</c:v>
                </c:pt>
                <c:pt idx="13">
                  <c:v>97.251220930559995</c:v>
                </c:pt>
                <c:pt idx="14">
                  <c:v>97.800976744447993</c:v>
                </c:pt>
                <c:pt idx="15">
                  <c:v>98.2407813955584</c:v>
                </c:pt>
                <c:pt idx="16">
                  <c:v>98.592625116446726</c:v>
                </c:pt>
                <c:pt idx="17">
                  <c:v>98.874100093157381</c:v>
                </c:pt>
                <c:pt idx="18">
                  <c:v>99.099280074525907</c:v>
                </c:pt>
                <c:pt idx="19">
                  <c:v>99.279424059620723</c:v>
                </c:pt>
                <c:pt idx="20">
                  <c:v>99.423539247696581</c:v>
                </c:pt>
                <c:pt idx="21">
                  <c:v>99.538831398157271</c:v>
                </c:pt>
                <c:pt idx="22">
                  <c:v>99.631065118525811</c:v>
                </c:pt>
                <c:pt idx="23">
                  <c:v>99.704852094820652</c:v>
                </c:pt>
                <c:pt idx="24">
                  <c:v>99.763881675856524</c:v>
                </c:pt>
                <c:pt idx="25">
                  <c:v>99.811105340685216</c:v>
                </c:pt>
                <c:pt idx="26">
                  <c:v>99.848884272548176</c:v>
                </c:pt>
                <c:pt idx="27">
                  <c:v>99.879107418038544</c:v>
                </c:pt>
                <c:pt idx="28">
                  <c:v>99.903285934430841</c:v>
                </c:pt>
                <c:pt idx="29">
                  <c:v>99.922628747544678</c:v>
                </c:pt>
                <c:pt idx="30">
                  <c:v>99.938102998035745</c:v>
                </c:pt>
                <c:pt idx="31">
                  <c:v>99.950482398428591</c:v>
                </c:pt>
                <c:pt idx="32">
                  <c:v>99.960385918742872</c:v>
                </c:pt>
                <c:pt idx="33">
                  <c:v>99.968308734994295</c:v>
                </c:pt>
                <c:pt idx="34">
                  <c:v>99.974646987995442</c:v>
                </c:pt>
                <c:pt idx="35">
                  <c:v>99.979717590396348</c:v>
                </c:pt>
                <c:pt idx="36">
                  <c:v>99.983774072317075</c:v>
                </c:pt>
                <c:pt idx="37">
                  <c:v>99.98701925785366</c:v>
                </c:pt>
                <c:pt idx="38">
                  <c:v>99.989615406282923</c:v>
                </c:pt>
                <c:pt idx="39">
                  <c:v>99.991692325026335</c:v>
                </c:pt>
                <c:pt idx="40">
                  <c:v>99.993353860021074</c:v>
                </c:pt>
                <c:pt idx="41">
                  <c:v>99.994683088016856</c:v>
                </c:pt>
                <c:pt idx="42">
                  <c:v>99.995746470413479</c:v>
                </c:pt>
                <c:pt idx="43">
                  <c:v>99.996597176330781</c:v>
                </c:pt>
                <c:pt idx="44">
                  <c:v>99.997277741064622</c:v>
                </c:pt>
                <c:pt idx="45">
                  <c:v>99.9978221928517</c:v>
                </c:pt>
                <c:pt idx="46">
                  <c:v>99.998257754281354</c:v>
                </c:pt>
                <c:pt idx="47">
                  <c:v>99.998606203425084</c:v>
                </c:pt>
                <c:pt idx="48">
                  <c:v>99.998884962740064</c:v>
                </c:pt>
                <c:pt idx="49">
                  <c:v>99.999107970192057</c:v>
                </c:pt>
                <c:pt idx="50">
                  <c:v>99.999286376153648</c:v>
                </c:pt>
                <c:pt idx="51">
                  <c:v>99.999429100922924</c:v>
                </c:pt>
                <c:pt idx="52">
                  <c:v>99.999543280738337</c:v>
                </c:pt>
                <c:pt idx="53">
                  <c:v>99.999634624590669</c:v>
                </c:pt>
                <c:pt idx="54">
                  <c:v>99.999707699672541</c:v>
                </c:pt>
                <c:pt idx="55">
                  <c:v>99.99976615973803</c:v>
                </c:pt>
                <c:pt idx="56">
                  <c:v>99.99981292779043</c:v>
                </c:pt>
                <c:pt idx="57">
                  <c:v>99.999850342232349</c:v>
                </c:pt>
                <c:pt idx="58">
                  <c:v>99.999880273785877</c:v>
                </c:pt>
                <c:pt idx="59">
                  <c:v>99.999904219028707</c:v>
                </c:pt>
                <c:pt idx="60">
                  <c:v>99.999923375222963</c:v>
                </c:pt>
                <c:pt idx="61">
                  <c:v>99.999938700178376</c:v>
                </c:pt>
                <c:pt idx="62">
                  <c:v>99.999950960142698</c:v>
                </c:pt>
                <c:pt idx="63">
                  <c:v>99.999960768114164</c:v>
                </c:pt>
                <c:pt idx="64">
                  <c:v>99.999968614491337</c:v>
                </c:pt>
                <c:pt idx="65">
                  <c:v>99.99997489159307</c:v>
                </c:pt>
                <c:pt idx="66">
                  <c:v>99.999979913274458</c:v>
                </c:pt>
                <c:pt idx="67">
                  <c:v>99.999983930619564</c:v>
                </c:pt>
                <c:pt idx="68">
                  <c:v>99.999987144495648</c:v>
                </c:pt>
                <c:pt idx="69">
                  <c:v>99.999989715596513</c:v>
                </c:pt>
                <c:pt idx="70">
                  <c:v>99.999991772477216</c:v>
                </c:pt>
                <c:pt idx="71">
                  <c:v>99.99999341798177</c:v>
                </c:pt>
                <c:pt idx="72">
                  <c:v>99.99999473438541</c:v>
                </c:pt>
                <c:pt idx="73">
                  <c:v>99.999995787508325</c:v>
                </c:pt>
                <c:pt idx="74">
                  <c:v>99.999996630006663</c:v>
                </c:pt>
                <c:pt idx="75">
                  <c:v>99.999997304005333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7-447D-A46D-2F9FC90C8243}"/>
            </c:ext>
          </c:extLst>
        </c:ser>
        <c:ser>
          <c:idx val="1"/>
          <c:order val="1"/>
          <c:tx>
            <c:strRef>
              <c:f>Sheet1!$C$13</c:f>
              <c:strCache>
                <c:ptCount val="1"/>
                <c:pt idx="0">
                  <c:v>Ci using Analytical Solution, mol/l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Sheet1!$A$14:$A$89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Sheet1!$C$14:$C$89</c:f>
              <c:numCache>
                <c:formatCode>0.00</c:formatCode>
                <c:ptCount val="76"/>
                <c:pt idx="0">
                  <c:v>50</c:v>
                </c:pt>
                <c:pt idx="1">
                  <c:v>59.063462346100906</c:v>
                </c:pt>
                <c:pt idx="2">
                  <c:v>66.483997698218033</c:v>
                </c:pt>
                <c:pt idx="3">
                  <c:v>72.559418195298676</c:v>
                </c:pt>
                <c:pt idx="4">
                  <c:v>77.53355179413893</c:v>
                </c:pt>
                <c:pt idx="5">
                  <c:v>81.606027941427882</c:v>
                </c:pt>
                <c:pt idx="6">
                  <c:v>84.940289404389901</c:v>
                </c:pt>
                <c:pt idx="7">
                  <c:v>87.670151802919676</c:v>
                </c:pt>
                <c:pt idx="8">
                  <c:v>89.905174100267232</c:v>
                </c:pt>
                <c:pt idx="9">
                  <c:v>91.735055588920673</c:v>
                </c:pt>
                <c:pt idx="10">
                  <c:v>93.233235838169364</c:v>
                </c:pt>
                <c:pt idx="11">
                  <c:v>94.459842081883309</c:v>
                </c:pt>
                <c:pt idx="12">
                  <c:v>95.464102335529375</c:v>
                </c:pt>
                <c:pt idx="13">
                  <c:v>96.286321089283305</c:v>
                </c:pt>
                <c:pt idx="14">
                  <c:v>96.959496868739109</c:v>
                </c:pt>
                <c:pt idx="15">
                  <c:v>97.510646581606807</c:v>
                </c:pt>
                <c:pt idx="16">
                  <c:v>97.961889801081696</c:v>
                </c:pt>
                <c:pt idx="17">
                  <c:v>98.331336501983699</c:v>
                </c:pt>
                <c:pt idx="18">
                  <c:v>98.633813877635376</c:v>
                </c:pt>
                <c:pt idx="19">
                  <c:v>98.881461407191722</c:v>
                </c:pt>
                <c:pt idx="20">
                  <c:v>99.084218055563298</c:v>
                </c:pt>
                <c:pt idx="21">
                  <c:v>99.250221158976117</c:v>
                </c:pt>
                <c:pt idx="22">
                  <c:v>99.386133004846585</c:v>
                </c:pt>
                <c:pt idx="23">
                  <c:v>99.49740821276832</c:v>
                </c:pt>
                <c:pt idx="24">
                  <c:v>99.588512647548995</c:v>
                </c:pt>
                <c:pt idx="25">
                  <c:v>99.66310265004573</c:v>
                </c:pt>
                <c:pt idx="26">
                  <c:v>99.72417177896196</c:v>
                </c:pt>
                <c:pt idx="27">
                  <c:v>99.774170952869369</c:v>
                </c:pt>
                <c:pt idx="28">
                  <c:v>99.815106814175849</c:v>
                </c:pt>
                <c:pt idx="29">
                  <c:v>99.848622262731212</c:v>
                </c:pt>
                <c:pt idx="30">
                  <c:v>99.876062391166684</c:v>
                </c:pt>
                <c:pt idx="31">
                  <c:v>99.898528468185219</c:v>
                </c:pt>
                <c:pt idx="32">
                  <c:v>99.916922136341299</c:v>
                </c:pt>
                <c:pt idx="33">
                  <c:v>99.931981598122604</c:v>
                </c:pt>
                <c:pt idx="34">
                  <c:v>99.944311242607753</c:v>
                </c:pt>
                <c:pt idx="35">
                  <c:v>99.954405901722268</c:v>
                </c:pt>
                <c:pt idx="36">
                  <c:v>99.962670709581161</c:v>
                </c:pt>
                <c:pt idx="37">
                  <c:v>99.96943736194352</c:v>
                </c:pt>
                <c:pt idx="38">
                  <c:v>99.974977428327975</c:v>
                </c:pt>
                <c:pt idx="39">
                  <c:v>99.979513251051017</c:v>
                </c:pt>
                <c:pt idx="40">
                  <c:v>99.983226868604874</c:v>
                </c:pt>
                <c:pt idx="41">
                  <c:v>99.986267321501387</c:v>
                </c:pt>
                <c:pt idx="42">
                  <c:v>99.988756633791056</c:v>
                </c:pt>
                <c:pt idx="43">
                  <c:v>99.990794710316621</c:v>
                </c:pt>
                <c:pt idx="44">
                  <c:v>99.992463346245231</c:v>
                </c:pt>
                <c:pt idx="45">
                  <c:v>99.99382950979566</c:v>
                </c:pt>
                <c:pt idx="46">
                  <c:v>99.994948029908144</c:v>
                </c:pt>
                <c:pt idx="47">
                  <c:v>99.995863796722162</c:v>
                </c:pt>
                <c:pt idx="48">
                  <c:v>99.996613563175458</c:v>
                </c:pt>
                <c:pt idx="49">
                  <c:v>99.997227420028395</c:v>
                </c:pt>
                <c:pt idx="50">
                  <c:v>99.997730003511876</c:v>
                </c:pt>
                <c:pt idx="51">
                  <c:v>99.998141484065798</c:v>
                </c:pt>
                <c:pt idx="52">
                  <c:v>99.998478375849587</c:v>
                </c:pt>
                <c:pt idx="53">
                  <c:v>99.998754199513428</c:v>
                </c:pt>
                <c:pt idx="54">
                  <c:v>99.998980024829436</c:v>
                </c:pt>
                <c:pt idx="55">
                  <c:v>99.999164914960488</c:v>
                </c:pt>
                <c:pt idx="56">
                  <c:v>99.999316290196717</c:v>
                </c:pt>
                <c:pt idx="57">
                  <c:v>99.999440225757866</c:v>
                </c:pt>
                <c:pt idx="58">
                  <c:v>99.999541695613189</c:v>
                </c:pt>
                <c:pt idx="59">
                  <c:v>99.999624772104241</c:v>
                </c:pt>
                <c:pt idx="60">
                  <c:v>99.999692789382337</c:v>
                </c:pt>
                <c:pt idx="61">
                  <c:v>99.99974847721964</c:v>
                </c:pt>
                <c:pt idx="62">
                  <c:v>99.999794070564619</c:v>
                </c:pt>
                <c:pt idx="63">
                  <c:v>99.999831399238289</c:v>
                </c:pt>
                <c:pt idx="64">
                  <c:v>99.999861961371394</c:v>
                </c:pt>
                <c:pt idx="65">
                  <c:v>99.999886983529649</c:v>
                </c:pt>
                <c:pt idx="66">
                  <c:v>99.999907469940126</c:v>
                </c:pt>
                <c:pt idx="67">
                  <c:v>99.999924242794393</c:v>
                </c:pt>
                <c:pt idx="68">
                  <c:v>99.999937975245999</c:v>
                </c:pt>
                <c:pt idx="69">
                  <c:v>99.999949218426451</c:v>
                </c:pt>
                <c:pt idx="70">
                  <c:v>99.999958423564038</c:v>
                </c:pt>
                <c:pt idx="71">
                  <c:v>99.999965960093277</c:v>
                </c:pt>
                <c:pt idx="72">
                  <c:v>99.999972130481538</c:v>
                </c:pt>
                <c:pt idx="73">
                  <c:v>99.999977182368156</c:v>
                </c:pt>
                <c:pt idx="74">
                  <c:v>99.999981318503103</c:v>
                </c:pt>
                <c:pt idx="75">
                  <c:v>99.999984704883971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17-447D-A46D-2F9FC90C8243}"/>
            </c:ext>
          </c:extLst>
        </c:ser>
        <c:ser>
          <c:idx val="3"/>
          <c:order val="2"/>
          <c:tx>
            <c:strRef>
              <c:f>Sheet1!$E$13</c:f>
              <c:strCache>
                <c:ptCount val="1"/>
                <c:pt idx="0">
                  <c:v>Ci using Euler Method and VBA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Sheet1!$A$14:$A$89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Sheet1!$E$14:$E$89</c:f>
              <c:numCache>
                <c:formatCode>0.00</c:formatCode>
                <c:ptCount val="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17-447D-A46D-2F9FC90C8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89184"/>
        <c:axId val="232289576"/>
      </c:scatterChart>
      <c:valAx>
        <c:axId val="23228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Time, min</a:t>
                </a:r>
              </a:p>
            </c:rich>
          </c:tx>
          <c:layout>
            <c:manualLayout>
              <c:xMode val="edge"/>
              <c:yMode val="edge"/>
              <c:x val="0.47046843177189407"/>
              <c:y val="0.725296442687747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289576"/>
        <c:crosses val="autoZero"/>
        <c:crossBetween val="midCat"/>
      </c:valAx>
      <c:valAx>
        <c:axId val="232289576"/>
        <c:scaling>
          <c:orientation val="minMax"/>
        </c:scaling>
        <c:delete val="0"/>
        <c:axPos val="l"/>
        <c:majorGridlines>
          <c:spPr>
            <a:ln w="3175">
              <a:noFill/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Concentration, mol/l</a:t>
                </a:r>
              </a:p>
            </c:rich>
          </c:tx>
          <c:layout>
            <c:manualLayout>
              <c:xMode val="edge"/>
              <c:yMode val="edge"/>
              <c:x val="3.0549898167006109E-2"/>
              <c:y val="0.243083003952569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289184"/>
        <c:crosses val="autoZero"/>
        <c:crossBetween val="midCat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720977596741344E-2"/>
          <c:y val="0.81422924901185767"/>
          <c:w val="0.56085978051114282"/>
          <c:h val="0.123930160903800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0</xdr:row>
      <xdr:rowOff>161925</xdr:rowOff>
    </xdr:from>
    <xdr:to>
      <xdr:col>14</xdr:col>
      <xdr:colOff>19050</xdr:colOff>
      <xdr:row>27</xdr:row>
      <xdr:rowOff>57150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4"/>
  <sheetViews>
    <sheetView tabSelected="1" workbookViewId="0">
      <selection activeCell="F15" sqref="F15"/>
    </sheetView>
  </sheetViews>
  <sheetFormatPr defaultRowHeight="13.2" x14ac:dyDescent="0.25"/>
  <cols>
    <col min="2" max="2" width="14.5546875" customWidth="1"/>
    <col min="3" max="3" width="12" customWidth="1"/>
    <col min="5" max="5" width="11.88671875" customWidth="1"/>
  </cols>
  <sheetData>
    <row r="1" spans="1:5" ht="17.399999999999999" x14ac:dyDescent="0.3">
      <c r="A1" s="2" t="s">
        <v>9</v>
      </c>
    </row>
    <row r="3" spans="1:5" x14ac:dyDescent="0.25">
      <c r="A3" s="1" t="s">
        <v>10</v>
      </c>
    </row>
    <row r="4" spans="1:5" x14ac:dyDescent="0.25">
      <c r="A4" s="1"/>
    </row>
    <row r="5" spans="1:5" x14ac:dyDescent="0.25">
      <c r="A5" s="5" t="s">
        <v>11</v>
      </c>
      <c r="B5" s="5" t="s">
        <v>12</v>
      </c>
      <c r="C5" s="5" t="s">
        <v>13</v>
      </c>
    </row>
    <row r="6" spans="1:5" x14ac:dyDescent="0.25">
      <c r="A6" s="3" t="s">
        <v>0</v>
      </c>
      <c r="B6" s="4">
        <v>0.2</v>
      </c>
      <c r="C6" s="4" t="s">
        <v>1</v>
      </c>
    </row>
    <row r="7" spans="1:5" x14ac:dyDescent="0.25">
      <c r="A7" s="3" t="s">
        <v>2</v>
      </c>
      <c r="B7" s="4">
        <v>50</v>
      </c>
      <c r="C7" s="4" t="s">
        <v>4</v>
      </c>
    </row>
    <row r="8" spans="1:5" x14ac:dyDescent="0.25">
      <c r="A8" s="3" t="s">
        <v>3</v>
      </c>
      <c r="B8" s="4">
        <v>100</v>
      </c>
      <c r="C8" s="4" t="s">
        <v>4</v>
      </c>
    </row>
    <row r="9" spans="1:5" x14ac:dyDescent="0.25">
      <c r="A9" s="3" t="s">
        <v>5</v>
      </c>
      <c r="B9" s="4">
        <v>1</v>
      </c>
      <c r="C9" s="4" t="s">
        <v>6</v>
      </c>
    </row>
    <row r="10" spans="1:5" x14ac:dyDescent="0.25">
      <c r="A10" s="3" t="s">
        <v>7</v>
      </c>
      <c r="B10" s="4">
        <v>100</v>
      </c>
      <c r="C10" s="4" t="s">
        <v>8</v>
      </c>
    </row>
    <row r="11" spans="1:5" x14ac:dyDescent="0.25">
      <c r="A11" s="7"/>
      <c r="B11" s="8"/>
      <c r="C11" s="8"/>
    </row>
    <row r="13" spans="1:5" ht="52.8" x14ac:dyDescent="0.25">
      <c r="A13" s="6" t="s">
        <v>18</v>
      </c>
      <c r="B13" s="6" t="s">
        <v>17</v>
      </c>
      <c r="C13" s="6" t="s">
        <v>15</v>
      </c>
      <c r="D13" s="6" t="s">
        <v>14</v>
      </c>
      <c r="E13" s="6" t="s">
        <v>16</v>
      </c>
    </row>
    <row r="14" spans="1:5" x14ac:dyDescent="0.25">
      <c r="A14" s="9">
        <v>0</v>
      </c>
      <c r="B14" s="10">
        <f>B$7</f>
        <v>50</v>
      </c>
      <c r="C14" s="10">
        <f>(B$7-B$8)*EXP(-B$6*A14) + B$8</f>
        <v>50</v>
      </c>
      <c r="D14" s="10">
        <f t="shared" ref="D14:D19" si="0">ABS( (C14-B14)/C14) *100</f>
        <v>0</v>
      </c>
      <c r="E14" s="10"/>
    </row>
    <row r="15" spans="1:5" x14ac:dyDescent="0.25">
      <c r="A15" s="9">
        <f t="shared" ref="A15:A23" si="1">A14+B$9</f>
        <v>1</v>
      </c>
      <c r="B15" s="10">
        <f>B14-B$6*(B14-B$8)*B$9</f>
        <v>60</v>
      </c>
      <c r="C15" s="10">
        <f>(B$7-B$8)*EXP(-B$6*A15) + B$8</f>
        <v>59.063462346100906</v>
      </c>
      <c r="D15" s="10">
        <f t="shared" si="0"/>
        <v>1.5856463822103044</v>
      </c>
      <c r="E15" s="10"/>
    </row>
    <row r="16" spans="1:5" x14ac:dyDescent="0.25">
      <c r="A16" s="9">
        <f t="shared" si="1"/>
        <v>2</v>
      </c>
      <c r="B16" s="10">
        <f t="shared" ref="B16:B79" si="2">B15-B$6*(B15-B$8)*B$9</f>
        <v>68</v>
      </c>
      <c r="C16" s="10">
        <f t="shared" ref="C16:C33" si="3">(B$7-B$8)*EXP(-B$6*A16) + B$8</f>
        <v>66.483997698218033</v>
      </c>
      <c r="D16" s="10">
        <f t="shared" si="0"/>
        <v>2.2802514202941802</v>
      </c>
      <c r="E16" s="10"/>
    </row>
    <row r="17" spans="1:5" x14ac:dyDescent="0.25">
      <c r="A17" s="9">
        <f t="shared" si="1"/>
        <v>3</v>
      </c>
      <c r="B17" s="10">
        <f t="shared" si="2"/>
        <v>74.400000000000006</v>
      </c>
      <c r="C17" s="10">
        <f t="shared" si="3"/>
        <v>72.559418195298676</v>
      </c>
      <c r="D17" s="10">
        <f t="shared" si="0"/>
        <v>2.5366545797642384</v>
      </c>
      <c r="E17" s="10"/>
    </row>
    <row r="18" spans="1:5" x14ac:dyDescent="0.25">
      <c r="A18" s="9">
        <f t="shared" si="1"/>
        <v>4</v>
      </c>
      <c r="B18" s="10">
        <f t="shared" si="2"/>
        <v>79.52000000000001</v>
      </c>
      <c r="C18" s="10">
        <f t="shared" si="3"/>
        <v>77.53355179413893</v>
      </c>
      <c r="D18" s="10">
        <f t="shared" si="0"/>
        <v>2.5620497963711806</v>
      </c>
      <c r="E18" s="10"/>
    </row>
    <row r="19" spans="1:5" x14ac:dyDescent="0.25">
      <c r="A19" s="9">
        <f t="shared" si="1"/>
        <v>5</v>
      </c>
      <c r="B19" s="10">
        <f t="shared" si="2"/>
        <v>83.616000000000014</v>
      </c>
      <c r="C19" s="10">
        <f t="shared" si="3"/>
        <v>81.606027941427882</v>
      </c>
      <c r="D19" s="10">
        <f t="shared" si="0"/>
        <v>2.463019104440145</v>
      </c>
      <c r="E19" s="10"/>
    </row>
    <row r="20" spans="1:5" x14ac:dyDescent="0.25">
      <c r="A20" s="9">
        <f t="shared" si="1"/>
        <v>6</v>
      </c>
      <c r="B20" s="10">
        <f t="shared" si="2"/>
        <v>86.892800000000008</v>
      </c>
      <c r="C20" s="10">
        <f t="shared" si="3"/>
        <v>84.940289404389901</v>
      </c>
      <c r="D20" s="10">
        <f t="shared" ref="D20:D33" si="4">ABS( (C20-B20)/C20) *100</f>
        <v>2.2986860644122049</v>
      </c>
      <c r="E20" s="10"/>
    </row>
    <row r="21" spans="1:5" x14ac:dyDescent="0.25">
      <c r="A21" s="9">
        <f t="shared" si="1"/>
        <v>7</v>
      </c>
      <c r="B21" s="10">
        <f t="shared" si="2"/>
        <v>89.514240000000001</v>
      </c>
      <c r="C21" s="10">
        <f t="shared" si="3"/>
        <v>87.670151802919676</v>
      </c>
      <c r="D21" s="10">
        <f t="shared" si="4"/>
        <v>2.1034390372971967</v>
      </c>
      <c r="E21" s="10"/>
    </row>
    <row r="22" spans="1:5" x14ac:dyDescent="0.25">
      <c r="A22" s="9">
        <f t="shared" si="1"/>
        <v>8</v>
      </c>
      <c r="B22" s="10">
        <f t="shared" si="2"/>
        <v>91.611391999999995</v>
      </c>
      <c r="C22" s="10">
        <f t="shared" si="3"/>
        <v>89.905174100267232</v>
      </c>
      <c r="D22" s="10">
        <f t="shared" si="4"/>
        <v>1.8977972255855873</v>
      </c>
      <c r="E22" s="10"/>
    </row>
    <row r="23" spans="1:5" x14ac:dyDescent="0.25">
      <c r="A23" s="9">
        <f t="shared" si="1"/>
        <v>9</v>
      </c>
      <c r="B23" s="10">
        <f t="shared" si="2"/>
        <v>93.289113599999993</v>
      </c>
      <c r="C23" s="10">
        <f t="shared" si="3"/>
        <v>91.735055588920673</v>
      </c>
      <c r="D23" s="10">
        <f t="shared" si="4"/>
        <v>1.6940721309891611</v>
      </c>
      <c r="E23" s="10"/>
    </row>
    <row r="24" spans="1:5" x14ac:dyDescent="0.25">
      <c r="A24" s="9">
        <f t="shared" ref="A24:A33" si="5">A23+B$9</f>
        <v>10</v>
      </c>
      <c r="B24" s="10">
        <f t="shared" si="2"/>
        <v>94.631290879999995</v>
      </c>
      <c r="C24" s="10">
        <f t="shared" si="3"/>
        <v>93.233235838169364</v>
      </c>
      <c r="D24" s="10">
        <f t="shared" si="4"/>
        <v>1.4995243158323073</v>
      </c>
      <c r="E24" s="10"/>
    </row>
    <row r="25" spans="1:5" x14ac:dyDescent="0.25">
      <c r="A25" s="9">
        <f t="shared" si="5"/>
        <v>11</v>
      </c>
      <c r="B25" s="10">
        <f t="shared" si="2"/>
        <v>95.70503270399999</v>
      </c>
      <c r="C25" s="10">
        <f t="shared" si="3"/>
        <v>94.459842081883309</v>
      </c>
      <c r="D25" s="10">
        <f t="shared" si="4"/>
        <v>1.3182222145123605</v>
      </c>
      <c r="E25" s="10"/>
    </row>
    <row r="26" spans="1:5" x14ac:dyDescent="0.25">
      <c r="A26" s="9">
        <f t="shared" si="5"/>
        <v>12</v>
      </c>
      <c r="B26" s="10">
        <f t="shared" si="2"/>
        <v>96.564026163199998</v>
      </c>
      <c r="C26" s="10">
        <f t="shared" si="3"/>
        <v>95.464102335529375</v>
      </c>
      <c r="D26" s="10">
        <f t="shared" si="4"/>
        <v>1.1521857962951356</v>
      </c>
      <c r="E26" s="10"/>
    </row>
    <row r="27" spans="1:5" x14ac:dyDescent="0.25">
      <c r="A27" s="9">
        <f t="shared" si="5"/>
        <v>13</v>
      </c>
      <c r="B27" s="10">
        <f t="shared" si="2"/>
        <v>97.251220930559995</v>
      </c>
      <c r="C27" s="10">
        <f t="shared" si="3"/>
        <v>96.286321089283305</v>
      </c>
      <c r="D27" s="10">
        <f t="shared" si="4"/>
        <v>1.0021151814305673</v>
      </c>
      <c r="E27" s="10"/>
    </row>
    <row r="28" spans="1:5" x14ac:dyDescent="0.25">
      <c r="A28" s="9">
        <f t="shared" si="5"/>
        <v>14</v>
      </c>
      <c r="B28" s="10">
        <f t="shared" si="2"/>
        <v>97.800976744447993</v>
      </c>
      <c r="C28" s="10">
        <f t="shared" si="3"/>
        <v>96.959496868739109</v>
      </c>
      <c r="D28" s="10">
        <f t="shared" si="4"/>
        <v>0.86786741153169877</v>
      </c>
      <c r="E28" s="10"/>
    </row>
    <row r="29" spans="1:5" x14ac:dyDescent="0.25">
      <c r="A29" s="9">
        <f t="shared" si="5"/>
        <v>15</v>
      </c>
      <c r="B29" s="10">
        <f t="shared" si="2"/>
        <v>98.2407813955584</v>
      </c>
      <c r="C29" s="10">
        <f t="shared" si="3"/>
        <v>97.510646581606807</v>
      </c>
      <c r="D29" s="10">
        <f t="shared" si="4"/>
        <v>0.7487744564800346</v>
      </c>
      <c r="E29" s="10"/>
    </row>
    <row r="30" spans="1:5" x14ac:dyDescent="0.25">
      <c r="A30" s="9">
        <f t="shared" si="5"/>
        <v>16</v>
      </c>
      <c r="B30" s="10">
        <f t="shared" si="2"/>
        <v>98.592625116446726</v>
      </c>
      <c r="C30" s="10">
        <f t="shared" si="3"/>
        <v>97.961889801081696</v>
      </c>
      <c r="D30" s="10">
        <f t="shared" si="4"/>
        <v>0.64385784782815114</v>
      </c>
      <c r="E30" s="10"/>
    </row>
    <row r="31" spans="1:5" x14ac:dyDescent="0.25">
      <c r="A31" s="9">
        <f t="shared" si="5"/>
        <v>17</v>
      </c>
      <c r="B31" s="10">
        <f t="shared" si="2"/>
        <v>98.874100093157381</v>
      </c>
      <c r="C31" s="10">
        <f t="shared" si="3"/>
        <v>98.331336501983699</v>
      </c>
      <c r="D31" s="10">
        <f t="shared" si="4"/>
        <v>0.55197418288190558</v>
      </c>
      <c r="E31" s="10"/>
    </row>
    <row r="32" spans="1:5" x14ac:dyDescent="0.25">
      <c r="A32" s="9">
        <f t="shared" si="5"/>
        <v>18</v>
      </c>
      <c r="B32" s="10">
        <f t="shared" si="2"/>
        <v>99.099280074525907</v>
      </c>
      <c r="C32" s="10">
        <f t="shared" si="3"/>
        <v>98.633813877635376</v>
      </c>
      <c r="D32" s="10">
        <f t="shared" si="4"/>
        <v>0.4719134124408762</v>
      </c>
      <c r="E32" s="10"/>
    </row>
    <row r="33" spans="1:5" x14ac:dyDescent="0.25">
      <c r="A33" s="9">
        <f t="shared" si="5"/>
        <v>19</v>
      </c>
      <c r="B33" s="10">
        <f t="shared" si="2"/>
        <v>99.279424059620723</v>
      </c>
      <c r="C33" s="10">
        <f t="shared" si="3"/>
        <v>98.881461407191722</v>
      </c>
      <c r="D33" s="10">
        <f t="shared" si="4"/>
        <v>0.4024643717493207</v>
      </c>
      <c r="E33" s="10"/>
    </row>
    <row r="34" spans="1:5" x14ac:dyDescent="0.25">
      <c r="A34" s="9">
        <f t="shared" ref="A34:A89" si="6">A33+B$9</f>
        <v>20</v>
      </c>
      <c r="B34" s="10">
        <f t="shared" si="2"/>
        <v>99.423539247696581</v>
      </c>
      <c r="C34" s="10">
        <f t="shared" ref="C34:C89" si="7">(B$7-B$8)*EXP(-B$6*A34) + B$8</f>
        <v>99.084218055563298</v>
      </c>
      <c r="D34" s="10">
        <f t="shared" ref="D34:D89" si="8">ABS( (C34-B34)/C34) *100</f>
        <v>0.34245735475553019</v>
      </c>
      <c r="E34" s="10"/>
    </row>
    <row r="35" spans="1:5" x14ac:dyDescent="0.25">
      <c r="A35" s="9">
        <f t="shared" si="6"/>
        <v>21</v>
      </c>
      <c r="B35" s="10">
        <f t="shared" si="2"/>
        <v>99.538831398157271</v>
      </c>
      <c r="C35" s="10">
        <f t="shared" si="7"/>
        <v>99.250221158976117</v>
      </c>
      <c r="D35" s="10">
        <f t="shared" si="8"/>
        <v>0.29079052500937591</v>
      </c>
      <c r="E35" s="10"/>
    </row>
    <row r="36" spans="1:5" x14ac:dyDescent="0.25">
      <c r="A36" s="9">
        <f t="shared" si="6"/>
        <v>22</v>
      </c>
      <c r="B36" s="10">
        <f t="shared" si="2"/>
        <v>99.631065118525811</v>
      </c>
      <c r="C36" s="10">
        <f t="shared" si="7"/>
        <v>99.386133004846585</v>
      </c>
      <c r="D36" s="10">
        <f t="shared" si="8"/>
        <v>0.24644495793722274</v>
      </c>
      <c r="E36" s="10"/>
    </row>
    <row r="37" spans="1:5" x14ac:dyDescent="0.25">
      <c r="A37" s="9">
        <f t="shared" si="6"/>
        <v>23</v>
      </c>
      <c r="B37" s="10">
        <f t="shared" si="2"/>
        <v>99.704852094820652</v>
      </c>
      <c r="C37" s="10">
        <f t="shared" si="7"/>
        <v>99.49740821276832</v>
      </c>
      <c r="D37" s="10">
        <f t="shared" si="8"/>
        <v>0.20849174443692725</v>
      </c>
      <c r="E37" s="10"/>
    </row>
    <row r="38" spans="1:5" x14ac:dyDescent="0.25">
      <c r="A38" s="9">
        <f t="shared" si="6"/>
        <v>24</v>
      </c>
      <c r="B38" s="10">
        <f t="shared" si="2"/>
        <v>99.763881675856524</v>
      </c>
      <c r="C38" s="10">
        <f t="shared" si="7"/>
        <v>99.588512647548995</v>
      </c>
      <c r="D38" s="10">
        <f t="shared" si="8"/>
        <v>0.17609363132891884</v>
      </c>
      <c r="E38" s="10"/>
    </row>
    <row r="39" spans="1:5" x14ac:dyDescent="0.25">
      <c r="A39" s="9">
        <f t="shared" si="6"/>
        <v>25</v>
      </c>
      <c r="B39" s="10">
        <f t="shared" si="2"/>
        <v>99.811105340685216</v>
      </c>
      <c r="C39" s="10">
        <f t="shared" si="7"/>
        <v>99.66310265004573</v>
      </c>
      <c r="D39" s="10">
        <f t="shared" si="8"/>
        <v>0.14850299328847855</v>
      </c>
      <c r="E39" s="10"/>
    </row>
    <row r="40" spans="1:5" x14ac:dyDescent="0.25">
      <c r="A40" s="9">
        <f t="shared" si="6"/>
        <v>26</v>
      </c>
      <c r="B40" s="10">
        <f t="shared" si="2"/>
        <v>99.848884272548176</v>
      </c>
      <c r="C40" s="10">
        <f t="shared" si="7"/>
        <v>99.72417177896196</v>
      </c>
      <c r="D40" s="10">
        <f t="shared" si="8"/>
        <v>0.12505743729077096</v>
      </c>
      <c r="E40" s="10"/>
    </row>
    <row r="41" spans="1:5" x14ac:dyDescent="0.25">
      <c r="A41" s="9">
        <f t="shared" si="6"/>
        <v>27</v>
      </c>
      <c r="B41" s="10">
        <f t="shared" si="2"/>
        <v>99.879107418038544</v>
      </c>
      <c r="C41" s="10">
        <f t="shared" si="7"/>
        <v>99.774170952869369</v>
      </c>
      <c r="D41" s="10">
        <f t="shared" si="8"/>
        <v>0.10517397856279237</v>
      </c>
      <c r="E41" s="10"/>
    </row>
    <row r="42" spans="1:5" x14ac:dyDescent="0.25">
      <c r="A42" s="9">
        <f t="shared" si="6"/>
        <v>28</v>
      </c>
      <c r="B42" s="10">
        <f t="shared" si="2"/>
        <v>99.903285934430841</v>
      </c>
      <c r="C42" s="10">
        <f t="shared" si="7"/>
        <v>99.815106814175849</v>
      </c>
      <c r="D42" s="10">
        <f t="shared" si="8"/>
        <v>8.8342459442690979E-2</v>
      </c>
      <c r="E42" s="10"/>
    </row>
    <row r="43" spans="1:5" x14ac:dyDescent="0.25">
      <c r="A43" s="9">
        <f t="shared" si="6"/>
        <v>29</v>
      </c>
      <c r="B43" s="10">
        <f t="shared" si="2"/>
        <v>99.922628747544678</v>
      </c>
      <c r="C43" s="10">
        <f t="shared" si="7"/>
        <v>99.848622262731212</v>
      </c>
      <c r="D43" s="10">
        <f t="shared" si="8"/>
        <v>7.4118684000199414E-2</v>
      </c>
      <c r="E43" s="10"/>
    </row>
    <row r="44" spans="1:5" x14ac:dyDescent="0.25">
      <c r="A44" s="9">
        <f t="shared" si="6"/>
        <v>30</v>
      </c>
      <c r="B44" s="10">
        <f t="shared" si="2"/>
        <v>99.938102998035745</v>
      </c>
      <c r="C44" s="10">
        <f t="shared" si="7"/>
        <v>99.876062391166684</v>
      </c>
      <c r="D44" s="10">
        <f t="shared" si="8"/>
        <v>6.2117593929642508E-2</v>
      </c>
      <c r="E44" s="10"/>
    </row>
    <row r="45" spans="1:5" x14ac:dyDescent="0.25">
      <c r="A45" s="9">
        <f t="shared" si="6"/>
        <v>31</v>
      </c>
      <c r="B45" s="10">
        <f t="shared" si="2"/>
        <v>99.950482398428591</v>
      </c>
      <c r="C45" s="10">
        <f t="shared" si="7"/>
        <v>99.898528468185219</v>
      </c>
      <c r="D45" s="10">
        <f t="shared" si="8"/>
        <v>5.2006702240781438E-2</v>
      </c>
      <c r="E45" s="10"/>
    </row>
    <row r="46" spans="1:5" x14ac:dyDescent="0.25">
      <c r="A46" s="9">
        <f t="shared" si="6"/>
        <v>32</v>
      </c>
      <c r="B46" s="10">
        <f t="shared" si="2"/>
        <v>99.960385918742872</v>
      </c>
      <c r="C46" s="10">
        <f t="shared" si="7"/>
        <v>99.916922136341299</v>
      </c>
      <c r="D46" s="10">
        <f t="shared" si="8"/>
        <v>4.3499921206805611E-2</v>
      </c>
      <c r="E46" s="10"/>
    </row>
    <row r="47" spans="1:5" x14ac:dyDescent="0.25">
      <c r="A47" s="9">
        <f t="shared" si="6"/>
        <v>33</v>
      </c>
      <c r="B47" s="10">
        <f t="shared" si="2"/>
        <v>99.968308734994295</v>
      </c>
      <c r="C47" s="10">
        <f t="shared" si="7"/>
        <v>99.931981598122604</v>
      </c>
      <c r="D47" s="10">
        <f t="shared" si="8"/>
        <v>3.6351862827839025E-2</v>
      </c>
      <c r="E47" s="10"/>
    </row>
    <row r="48" spans="1:5" x14ac:dyDescent="0.25">
      <c r="A48" s="9">
        <f t="shared" si="6"/>
        <v>34</v>
      </c>
      <c r="B48" s="10">
        <f t="shared" si="2"/>
        <v>99.974646987995442</v>
      </c>
      <c r="C48" s="10">
        <f t="shared" si="7"/>
        <v>99.944311242607753</v>
      </c>
      <c r="D48" s="10">
        <f t="shared" si="8"/>
        <v>3.0352648400418292E-2</v>
      </c>
      <c r="E48" s="10"/>
    </row>
    <row r="49" spans="1:5" x14ac:dyDescent="0.25">
      <c r="A49" s="9">
        <f t="shared" si="6"/>
        <v>35</v>
      </c>
      <c r="B49" s="10">
        <f t="shared" si="2"/>
        <v>99.979717590396348</v>
      </c>
      <c r="C49" s="10">
        <f t="shared" si="7"/>
        <v>99.954405901722268</v>
      </c>
      <c r="D49" s="10">
        <f t="shared" si="8"/>
        <v>2.5323234574538864E-2</v>
      </c>
      <c r="E49" s="10"/>
    </row>
    <row r="50" spans="1:5" x14ac:dyDescent="0.25">
      <c r="A50" s="9">
        <f t="shared" si="6"/>
        <v>36</v>
      </c>
      <c r="B50" s="10">
        <f t="shared" si="2"/>
        <v>99.983774072317075</v>
      </c>
      <c r="C50" s="10">
        <f t="shared" si="7"/>
        <v>99.962670709581161</v>
      </c>
      <c r="D50" s="10">
        <f t="shared" si="8"/>
        <v>2.1111243413279059E-2</v>
      </c>
      <c r="E50" s="10"/>
    </row>
    <row r="51" spans="1:5" x14ac:dyDescent="0.25">
      <c r="A51" s="9">
        <f t="shared" si="6"/>
        <v>37</v>
      </c>
      <c r="B51" s="10">
        <f t="shared" si="2"/>
        <v>99.98701925785366</v>
      </c>
      <c r="C51" s="10">
        <f t="shared" si="7"/>
        <v>99.96943736194352</v>
      </c>
      <c r="D51" s="10">
        <f t="shared" si="8"/>
        <v>1.7587271044133816E-2</v>
      </c>
      <c r="E51" s="10"/>
    </row>
    <row r="52" spans="1:5" x14ac:dyDescent="0.25">
      <c r="A52" s="9">
        <f t="shared" si="6"/>
        <v>38</v>
      </c>
      <c r="B52" s="10">
        <f t="shared" si="2"/>
        <v>99.989615406282923</v>
      </c>
      <c r="C52" s="10">
        <f t="shared" si="7"/>
        <v>99.974977428327975</v>
      </c>
      <c r="D52" s="10">
        <f t="shared" si="8"/>
        <v>1.4641641670228595E-2</v>
      </c>
      <c r="E52" s="10"/>
    </row>
    <row r="53" spans="1:5" x14ac:dyDescent="0.25">
      <c r="A53" s="9">
        <f t="shared" si="6"/>
        <v>39</v>
      </c>
      <c r="B53" s="10">
        <f t="shared" si="2"/>
        <v>99.991692325026335</v>
      </c>
      <c r="C53" s="10">
        <f t="shared" si="7"/>
        <v>99.979513251051017</v>
      </c>
      <c r="D53" s="10">
        <f t="shared" si="8"/>
        <v>1.2181569582896528E-2</v>
      </c>
      <c r="E53" s="10"/>
    </row>
    <row r="54" spans="1:5" x14ac:dyDescent="0.25">
      <c r="A54" s="9">
        <f t="shared" si="6"/>
        <v>40</v>
      </c>
      <c r="B54" s="10">
        <f t="shared" si="2"/>
        <v>99.993353860021074</v>
      </c>
      <c r="C54" s="10">
        <f t="shared" si="7"/>
        <v>99.983226868604874</v>
      </c>
      <c r="D54" s="10">
        <f t="shared" si="8"/>
        <v>1.0128690314735421E-2</v>
      </c>
      <c r="E54" s="10"/>
    </row>
    <row r="55" spans="1:5" x14ac:dyDescent="0.25">
      <c r="A55" s="9">
        <f t="shared" si="6"/>
        <v>41</v>
      </c>
      <c r="B55" s="10">
        <f t="shared" si="2"/>
        <v>99.994683088016856</v>
      </c>
      <c r="C55" s="10">
        <f t="shared" si="7"/>
        <v>99.986267321501387</v>
      </c>
      <c r="D55" s="10">
        <f t="shared" si="8"/>
        <v>8.4169223843596798E-3</v>
      </c>
      <c r="E55" s="10"/>
    </row>
    <row r="56" spans="1:5" x14ac:dyDescent="0.25">
      <c r="A56" s="9">
        <f t="shared" si="6"/>
        <v>42</v>
      </c>
      <c r="B56" s="10">
        <f t="shared" si="2"/>
        <v>99.995746470413479</v>
      </c>
      <c r="C56" s="10">
        <f t="shared" si="7"/>
        <v>99.988756633791056</v>
      </c>
      <c r="D56" s="10">
        <f t="shared" si="8"/>
        <v>6.9906226037233163E-3</v>
      </c>
      <c r="E56" s="10"/>
    </row>
    <row r="57" spans="1:5" x14ac:dyDescent="0.25">
      <c r="A57" s="9">
        <f t="shared" si="6"/>
        <v>43</v>
      </c>
      <c r="B57" s="10">
        <f t="shared" si="2"/>
        <v>99.996597176330781</v>
      </c>
      <c r="C57" s="10">
        <f t="shared" si="7"/>
        <v>99.990794710316621</v>
      </c>
      <c r="D57" s="10">
        <f t="shared" si="8"/>
        <v>5.803000197138264E-3</v>
      </c>
      <c r="E57" s="10"/>
    </row>
    <row r="58" spans="1:5" x14ac:dyDescent="0.25">
      <c r="A58" s="9">
        <f t="shared" si="6"/>
        <v>44</v>
      </c>
      <c r="B58" s="10">
        <f t="shared" si="2"/>
        <v>99.997277741064622</v>
      </c>
      <c r="C58" s="10">
        <f t="shared" si="7"/>
        <v>99.992463346245231</v>
      </c>
      <c r="D58" s="10">
        <f t="shared" si="8"/>
        <v>4.8147576910073575E-3</v>
      </c>
      <c r="E58" s="10"/>
    </row>
    <row r="59" spans="1:5" x14ac:dyDescent="0.25">
      <c r="A59" s="9">
        <f t="shared" si="6"/>
        <v>45</v>
      </c>
      <c r="B59" s="10">
        <f t="shared" si="2"/>
        <v>99.9978221928517</v>
      </c>
      <c r="C59" s="10">
        <f t="shared" si="7"/>
        <v>99.99382950979566</v>
      </c>
      <c r="D59" s="10">
        <f t="shared" si="8"/>
        <v>3.992929439360313E-3</v>
      </c>
      <c r="E59" s="10"/>
    </row>
    <row r="60" spans="1:5" x14ac:dyDescent="0.25">
      <c r="A60" s="9">
        <f t="shared" si="6"/>
        <v>46</v>
      </c>
      <c r="B60" s="10">
        <f t="shared" si="2"/>
        <v>99.998257754281354</v>
      </c>
      <c r="C60" s="10">
        <f t="shared" si="7"/>
        <v>99.994948029908144</v>
      </c>
      <c r="D60" s="10">
        <f t="shared" si="8"/>
        <v>3.3098915879431834E-3</v>
      </c>
      <c r="E60" s="10"/>
    </row>
    <row r="61" spans="1:5" x14ac:dyDescent="0.25">
      <c r="A61" s="9">
        <f t="shared" si="6"/>
        <v>47</v>
      </c>
      <c r="B61" s="10">
        <f t="shared" si="2"/>
        <v>99.998606203425084</v>
      </c>
      <c r="C61" s="10">
        <f t="shared" si="7"/>
        <v>99.995863796722162</v>
      </c>
      <c r="D61" s="10">
        <f t="shared" si="8"/>
        <v>2.7425201391294749E-3</v>
      </c>
      <c r="E61" s="10"/>
    </row>
    <row r="62" spans="1:5" x14ac:dyDescent="0.25">
      <c r="A62" s="9">
        <f t="shared" si="6"/>
        <v>48</v>
      </c>
      <c r="B62" s="10">
        <f t="shared" si="2"/>
        <v>99.998884962740064</v>
      </c>
      <c r="C62" s="10">
        <f t="shared" si="7"/>
        <v>99.996613563175458</v>
      </c>
      <c r="D62" s="10">
        <f t="shared" si="8"/>
        <v>2.2714764867219658E-3</v>
      </c>
      <c r="E62" s="9"/>
    </row>
    <row r="63" spans="1:5" x14ac:dyDescent="0.25">
      <c r="A63" s="9">
        <f t="shared" si="6"/>
        <v>49</v>
      </c>
      <c r="B63" s="10">
        <f t="shared" si="2"/>
        <v>99.999107970192057</v>
      </c>
      <c r="C63" s="10">
        <f t="shared" si="7"/>
        <v>99.997227420028395</v>
      </c>
      <c r="D63" s="10">
        <f t="shared" si="8"/>
        <v>1.8806023048649149E-3</v>
      </c>
      <c r="E63" s="9"/>
    </row>
    <row r="64" spans="1:5" x14ac:dyDescent="0.25">
      <c r="A64" s="9">
        <f t="shared" si="6"/>
        <v>50</v>
      </c>
      <c r="B64" s="10">
        <f t="shared" si="2"/>
        <v>99.999286376153648</v>
      </c>
      <c r="C64" s="10">
        <f t="shared" si="7"/>
        <v>99.997730003511876</v>
      </c>
      <c r="D64" s="10">
        <f t="shared" si="8"/>
        <v>1.5564079721787504E-3</v>
      </c>
      <c r="E64" s="9"/>
    </row>
    <row r="65" spans="1:5" x14ac:dyDescent="0.25">
      <c r="A65" s="9">
        <f t="shared" si="6"/>
        <v>51</v>
      </c>
      <c r="B65" s="10">
        <f t="shared" si="2"/>
        <v>99.999429100922924</v>
      </c>
      <c r="C65" s="10">
        <f t="shared" si="7"/>
        <v>99.998141484065798</v>
      </c>
      <c r="D65" s="10">
        <f t="shared" si="8"/>
        <v>1.2876407881359728E-3</v>
      </c>
      <c r="E65" s="9"/>
    </row>
    <row r="66" spans="1:5" x14ac:dyDescent="0.25">
      <c r="A66" s="9">
        <f t="shared" si="6"/>
        <v>52</v>
      </c>
      <c r="B66" s="10">
        <f t="shared" si="2"/>
        <v>99.999543280738337</v>
      </c>
      <c r="C66" s="10">
        <f t="shared" si="7"/>
        <v>99.998478375849587</v>
      </c>
      <c r="D66" s="10">
        <f t="shared" si="8"/>
        <v>1.0649210928466383E-3</v>
      </c>
      <c r="E66" s="9"/>
    </row>
    <row r="67" spans="1:5" x14ac:dyDescent="0.25">
      <c r="A67" s="9">
        <f t="shared" si="6"/>
        <v>53</v>
      </c>
      <c r="B67" s="10">
        <f t="shared" si="2"/>
        <v>99.999634624590669</v>
      </c>
      <c r="C67" s="10">
        <f t="shared" si="7"/>
        <v>99.998754199513428</v>
      </c>
      <c r="D67" s="10">
        <f t="shared" si="8"/>
        <v>8.8043604571793948E-4</v>
      </c>
      <c r="E67" s="9"/>
    </row>
    <row r="68" spans="1:5" x14ac:dyDescent="0.25">
      <c r="A68" s="9">
        <f t="shared" si="6"/>
        <v>54</v>
      </c>
      <c r="B68" s="10">
        <f t="shared" si="2"/>
        <v>99.999707699672541</v>
      </c>
      <c r="C68" s="10">
        <f t="shared" si="7"/>
        <v>99.998980024829436</v>
      </c>
      <c r="D68" s="10">
        <f t="shared" si="8"/>
        <v>7.2768226528374582E-4</v>
      </c>
      <c r="E68" s="9"/>
    </row>
    <row r="69" spans="1:5" x14ac:dyDescent="0.25">
      <c r="A69" s="9">
        <f t="shared" si="6"/>
        <v>55</v>
      </c>
      <c r="B69" s="10">
        <f t="shared" si="2"/>
        <v>99.99976615973803</v>
      </c>
      <c r="C69" s="10">
        <f t="shared" si="7"/>
        <v>99.999164914960488</v>
      </c>
      <c r="D69" s="10">
        <f t="shared" si="8"/>
        <v>6.0124979848898228E-4</v>
      </c>
      <c r="E69" s="9"/>
    </row>
    <row r="70" spans="1:5" x14ac:dyDescent="0.25">
      <c r="A70" s="9">
        <f t="shared" si="6"/>
        <v>56</v>
      </c>
      <c r="B70" s="10">
        <f t="shared" si="2"/>
        <v>99.99981292779043</v>
      </c>
      <c r="C70" s="10">
        <f t="shared" si="7"/>
        <v>99.999316290196717</v>
      </c>
      <c r="D70" s="10">
        <f t="shared" si="8"/>
        <v>4.9664098929612052E-4</v>
      </c>
      <c r="E70" s="9"/>
    </row>
    <row r="71" spans="1:5" x14ac:dyDescent="0.25">
      <c r="A71" s="9">
        <f t="shared" si="6"/>
        <v>57</v>
      </c>
      <c r="B71" s="10">
        <f t="shared" si="2"/>
        <v>99.999850342232349</v>
      </c>
      <c r="C71" s="10">
        <f t="shared" si="7"/>
        <v>99.999440225757866</v>
      </c>
      <c r="D71" s="10">
        <f t="shared" si="8"/>
        <v>4.1011877022309489E-4</v>
      </c>
      <c r="E71" s="9"/>
    </row>
    <row r="72" spans="1:5" x14ac:dyDescent="0.25">
      <c r="A72" s="9">
        <f t="shared" si="6"/>
        <v>58</v>
      </c>
      <c r="B72" s="10">
        <f t="shared" si="2"/>
        <v>99.999880273785877</v>
      </c>
      <c r="C72" s="10">
        <f t="shared" si="7"/>
        <v>99.999541695613189</v>
      </c>
      <c r="D72" s="10">
        <f t="shared" si="8"/>
        <v>3.385797244134056E-4</v>
      </c>
      <c r="E72" s="9"/>
    </row>
    <row r="73" spans="1:5" x14ac:dyDescent="0.25">
      <c r="A73" s="9">
        <f t="shared" si="6"/>
        <v>59</v>
      </c>
      <c r="B73" s="10">
        <f t="shared" si="2"/>
        <v>99.999904219028707</v>
      </c>
      <c r="C73" s="10">
        <f t="shared" si="7"/>
        <v>99.999624772104241</v>
      </c>
      <c r="D73" s="10">
        <f t="shared" si="8"/>
        <v>2.7944797303299125E-4</v>
      </c>
      <c r="E73" s="9"/>
    </row>
    <row r="74" spans="1:5" x14ac:dyDescent="0.25">
      <c r="A74" s="9">
        <f t="shared" si="6"/>
        <v>60</v>
      </c>
      <c r="B74" s="10">
        <f t="shared" si="2"/>
        <v>99.999923375222963</v>
      </c>
      <c r="C74" s="10">
        <f t="shared" si="7"/>
        <v>99.999692789382337</v>
      </c>
      <c r="D74" s="10">
        <f t="shared" si="8"/>
        <v>2.3058654901232455E-4</v>
      </c>
      <c r="E74" s="9"/>
    </row>
    <row r="75" spans="1:5" x14ac:dyDescent="0.25">
      <c r="A75" s="9">
        <f t="shared" si="6"/>
        <v>61</v>
      </c>
      <c r="B75" s="10">
        <f t="shared" si="2"/>
        <v>99.999938700178376</v>
      </c>
      <c r="C75" s="10">
        <f t="shared" si="7"/>
        <v>99.99974847721964</v>
      </c>
      <c r="D75" s="10">
        <f t="shared" si="8"/>
        <v>1.9022343719110873E-4</v>
      </c>
      <c r="E75" s="9"/>
    </row>
    <row r="76" spans="1:5" x14ac:dyDescent="0.25">
      <c r="A76" s="9">
        <f t="shared" si="6"/>
        <v>62</v>
      </c>
      <c r="B76" s="10">
        <f t="shared" si="2"/>
        <v>99.999950960142698</v>
      </c>
      <c r="C76" s="10">
        <f t="shared" si="7"/>
        <v>99.999794070564619</v>
      </c>
      <c r="D76" s="10">
        <f t="shared" si="8"/>
        <v>1.5688990116173216E-4</v>
      </c>
      <c r="E76" s="9"/>
    </row>
    <row r="77" spans="1:5" x14ac:dyDescent="0.25">
      <c r="A77" s="9">
        <f t="shared" si="6"/>
        <v>63</v>
      </c>
      <c r="B77" s="10">
        <f t="shared" si="2"/>
        <v>99.999960768114164</v>
      </c>
      <c r="C77" s="10">
        <f t="shared" si="7"/>
        <v>99.999831399238289</v>
      </c>
      <c r="D77" s="10">
        <f t="shared" si="8"/>
        <v>1.2936909399228011E-4</v>
      </c>
      <c r="E77" s="9"/>
    </row>
    <row r="78" spans="1:5" x14ac:dyDescent="0.25">
      <c r="A78" s="9">
        <f t="shared" si="6"/>
        <v>64</v>
      </c>
      <c r="B78" s="10">
        <f t="shared" si="2"/>
        <v>99.999968614491337</v>
      </c>
      <c r="C78" s="10">
        <f t="shared" si="7"/>
        <v>99.999861961371394</v>
      </c>
      <c r="D78" s="10">
        <f t="shared" si="8"/>
        <v>1.0665326716544188E-4</v>
      </c>
      <c r="E78" s="9"/>
    </row>
    <row r="79" spans="1:5" x14ac:dyDescent="0.25">
      <c r="A79" s="9">
        <f t="shared" si="6"/>
        <v>65</v>
      </c>
      <c r="B79" s="10">
        <f t="shared" si="2"/>
        <v>99.99997489159307</v>
      </c>
      <c r="C79" s="10">
        <f t="shared" si="7"/>
        <v>99.999886983529649</v>
      </c>
      <c r="D79" s="10">
        <f t="shared" si="8"/>
        <v>8.7908162771330227E-5</v>
      </c>
      <c r="E79" s="9"/>
    </row>
    <row r="80" spans="1:5" x14ac:dyDescent="0.25">
      <c r="A80" s="9">
        <f t="shared" si="6"/>
        <v>66</v>
      </c>
      <c r="B80" s="10">
        <f t="shared" ref="B80:B89" si="9">B79-B$6*(B79-B$8)*B$9</f>
        <v>99.999979913274458</v>
      </c>
      <c r="C80" s="10">
        <f t="shared" si="7"/>
        <v>99.999907469940126</v>
      </c>
      <c r="D80" s="10">
        <f t="shared" si="8"/>
        <v>7.2443401364128833E-5</v>
      </c>
      <c r="E80" s="9"/>
    </row>
    <row r="81" spans="1:5" x14ac:dyDescent="0.25">
      <c r="A81" s="9">
        <f t="shared" si="6"/>
        <v>67</v>
      </c>
      <c r="B81" s="10">
        <f t="shared" si="9"/>
        <v>99.999983930619564</v>
      </c>
      <c r="C81" s="10">
        <f t="shared" si="7"/>
        <v>99.999924242794393</v>
      </c>
      <c r="D81" s="10">
        <f t="shared" si="8"/>
        <v>5.9687870389157808E-5</v>
      </c>
      <c r="E81" s="9"/>
    </row>
    <row r="82" spans="1:5" x14ac:dyDescent="0.25">
      <c r="A82" s="9">
        <f t="shared" si="6"/>
        <v>68</v>
      </c>
      <c r="B82" s="10">
        <f t="shared" si="9"/>
        <v>99.999987144495648</v>
      </c>
      <c r="C82" s="10">
        <f t="shared" si="7"/>
        <v>99.999937975245999</v>
      </c>
      <c r="D82" s="10">
        <f t="shared" si="8"/>
        <v>4.9169280146719411E-5</v>
      </c>
      <c r="E82" s="9"/>
    </row>
    <row r="83" spans="1:5" x14ac:dyDescent="0.25">
      <c r="A83" s="9">
        <f t="shared" si="6"/>
        <v>69</v>
      </c>
      <c r="B83" s="10">
        <f t="shared" si="9"/>
        <v>99.999989715596513</v>
      </c>
      <c r="C83" s="10">
        <f t="shared" si="7"/>
        <v>99.999949218426451</v>
      </c>
      <c r="D83" s="10">
        <f t="shared" si="8"/>
        <v>4.0497190626936825E-5</v>
      </c>
      <c r="E83" s="9"/>
    </row>
    <row r="84" spans="1:5" x14ac:dyDescent="0.25">
      <c r="A84" s="9">
        <f t="shared" si="6"/>
        <v>70</v>
      </c>
      <c r="B84" s="10">
        <f t="shared" si="9"/>
        <v>99.999991772477216</v>
      </c>
      <c r="C84" s="10">
        <f t="shared" si="7"/>
        <v>99.999958423564038</v>
      </c>
      <c r="D84" s="10">
        <f t="shared" si="8"/>
        <v>3.334892704292852E-5</v>
      </c>
      <c r="E84" s="9"/>
    </row>
    <row r="85" spans="1:5" x14ac:dyDescent="0.25">
      <c r="A85" s="9">
        <f t="shared" si="6"/>
        <v>71</v>
      </c>
      <c r="B85" s="10">
        <f t="shared" si="9"/>
        <v>99.99999341798177</v>
      </c>
      <c r="C85" s="10">
        <f t="shared" si="7"/>
        <v>99.999965960093277</v>
      </c>
      <c r="D85" s="10">
        <f t="shared" si="8"/>
        <v>2.745789783931964E-5</v>
      </c>
      <c r="E85" s="9"/>
    </row>
    <row r="86" spans="1:5" x14ac:dyDescent="0.25">
      <c r="A86" s="9">
        <f t="shared" si="6"/>
        <v>72</v>
      </c>
      <c r="B86" s="10">
        <f t="shared" si="9"/>
        <v>99.99999473438541</v>
      </c>
      <c r="C86" s="10">
        <f t="shared" si="7"/>
        <v>99.999972130481538</v>
      </c>
      <c r="D86" s="10">
        <f t="shared" si="8"/>
        <v>2.2603910171810147E-5</v>
      </c>
      <c r="E86" s="9"/>
    </row>
    <row r="87" spans="1:5" x14ac:dyDescent="0.25">
      <c r="A87" s="9">
        <f t="shared" si="6"/>
        <v>73</v>
      </c>
      <c r="B87" s="10">
        <f t="shared" si="9"/>
        <v>99.999995787508325</v>
      </c>
      <c r="C87" s="10">
        <f t="shared" si="7"/>
        <v>99.999977182368156</v>
      </c>
      <c r="D87" s="10">
        <f t="shared" si="8"/>
        <v>1.8605144415078419E-5</v>
      </c>
      <c r="E87" s="9"/>
    </row>
    <row r="88" spans="1:5" x14ac:dyDescent="0.25">
      <c r="A88" s="9">
        <f t="shared" si="6"/>
        <v>74</v>
      </c>
      <c r="B88" s="10">
        <f t="shared" si="9"/>
        <v>99.999996630006663</v>
      </c>
      <c r="C88" s="10">
        <f t="shared" si="7"/>
        <v>99.999981318503103</v>
      </c>
      <c r="D88" s="10">
        <f t="shared" si="8"/>
        <v>1.5311506420574468E-5</v>
      </c>
      <c r="E88" s="9"/>
    </row>
    <row r="89" spans="1:5" x14ac:dyDescent="0.25">
      <c r="A89" s="9">
        <f t="shared" si="6"/>
        <v>75</v>
      </c>
      <c r="B89" s="10">
        <f t="shared" si="9"/>
        <v>99.999997304005333</v>
      </c>
      <c r="C89" s="10">
        <f t="shared" si="7"/>
        <v>99.999984704883971</v>
      </c>
      <c r="D89" s="10">
        <f t="shared" si="8"/>
        <v>1.259912328925062E-5</v>
      </c>
      <c r="E89" s="9"/>
    </row>
    <row r="90" spans="1:5" x14ac:dyDescent="0.25">
      <c r="A90" s="11"/>
      <c r="B90" s="11"/>
      <c r="C90" s="11"/>
      <c r="D90" s="11"/>
      <c r="E90" s="11"/>
    </row>
    <row r="91" spans="1:5" x14ac:dyDescent="0.25">
      <c r="A91" s="11"/>
      <c r="B91" s="11"/>
      <c r="C91" s="11"/>
      <c r="D91" s="11"/>
      <c r="E91" s="11"/>
    </row>
    <row r="92" spans="1:5" x14ac:dyDescent="0.25">
      <c r="A92" s="11"/>
      <c r="B92" s="11"/>
      <c r="C92" s="11"/>
      <c r="D92" s="11"/>
      <c r="E92" s="11"/>
    </row>
    <row r="93" spans="1:5" x14ac:dyDescent="0.25">
      <c r="A93" s="11"/>
      <c r="B93" s="11"/>
      <c r="C93" s="11"/>
      <c r="D93" s="11"/>
      <c r="E93" s="11"/>
    </row>
    <row r="94" spans="1:5" x14ac:dyDescent="0.25">
      <c r="A94" s="11"/>
      <c r="B94" s="11"/>
      <c r="C94" s="11"/>
      <c r="D94" s="11"/>
      <c r="E94" s="11"/>
    </row>
    <row r="95" spans="1:5" x14ac:dyDescent="0.25">
      <c r="A95" s="11"/>
      <c r="B95" s="11"/>
      <c r="C95" s="11"/>
      <c r="D95" s="11"/>
      <c r="E95" s="11"/>
    </row>
    <row r="96" spans="1:5" x14ac:dyDescent="0.25">
      <c r="A96" s="11"/>
      <c r="B96" s="11"/>
      <c r="C96" s="11"/>
      <c r="D96" s="11"/>
      <c r="E96" s="11"/>
    </row>
    <row r="97" spans="1:5" x14ac:dyDescent="0.25">
      <c r="A97" s="11"/>
      <c r="B97" s="12"/>
      <c r="C97" s="11"/>
      <c r="D97" s="11"/>
      <c r="E97" s="11"/>
    </row>
    <row r="98" spans="1:5" x14ac:dyDescent="0.25">
      <c r="A98" s="11"/>
      <c r="B98" s="11"/>
      <c r="C98" s="11"/>
      <c r="D98" s="11"/>
      <c r="E98" s="11"/>
    </row>
    <row r="99" spans="1:5" x14ac:dyDescent="0.25">
      <c r="A99" s="11"/>
      <c r="B99" s="11"/>
      <c r="C99" s="11"/>
      <c r="D99" s="11"/>
      <c r="E99" s="11"/>
    </row>
    <row r="100" spans="1:5" x14ac:dyDescent="0.25">
      <c r="A100" s="11"/>
      <c r="B100" s="11"/>
      <c r="C100" s="11"/>
      <c r="D100" s="11"/>
      <c r="E100" s="11"/>
    </row>
    <row r="101" spans="1:5" x14ac:dyDescent="0.25">
      <c r="A101" s="11"/>
      <c r="B101" s="11"/>
      <c r="C101" s="11"/>
      <c r="D101" s="11"/>
      <c r="E101" s="11"/>
    </row>
    <row r="102" spans="1:5" x14ac:dyDescent="0.25">
      <c r="A102" s="11"/>
      <c r="B102" s="11"/>
      <c r="C102" s="11"/>
      <c r="D102" s="11"/>
      <c r="E102" s="11"/>
    </row>
    <row r="103" spans="1:5" x14ac:dyDescent="0.25">
      <c r="A103" s="11"/>
      <c r="B103" s="11"/>
      <c r="C103" s="11"/>
      <c r="D103" s="11"/>
      <c r="E103" s="11"/>
    </row>
    <row r="104" spans="1:5" x14ac:dyDescent="0.25">
      <c r="A104" s="11"/>
      <c r="B104" s="11"/>
      <c r="C104" s="11"/>
      <c r="D104" s="11"/>
      <c r="E104" s="11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5"/>
  <sheetData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Ames, Iowa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Batchelor</dc:creator>
  <cp:lastModifiedBy>William Batchelor</cp:lastModifiedBy>
  <dcterms:created xsi:type="dcterms:W3CDTF">2002-01-24T03:12:55Z</dcterms:created>
  <dcterms:modified xsi:type="dcterms:W3CDTF">2023-08-23T15:16:32Z</dcterms:modified>
</cp:coreProperties>
</file>